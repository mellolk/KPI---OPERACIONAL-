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RQUIVOS MERCEDES\Planilhas\"/>
    </mc:Choice>
  </mc:AlternateContent>
  <xr:revisionPtr revIDLastSave="0" documentId="13_ncr:1_{B2ED66A3-2967-4434-B28B-94D14BA54A9B}" xr6:coauthVersionLast="47" xr6:coauthVersionMax="47" xr10:uidLastSave="{00000000-0000-0000-0000-000000000000}"/>
  <bookViews>
    <workbookView xWindow="21480" yWindow="-990" windowWidth="29040" windowHeight="15720" tabRatio="500" activeTab="1" xr2:uid="{00000000-000D-0000-FFFF-FFFF00000000}"/>
  </bookViews>
  <sheets>
    <sheet name="DASHBOARD" sheetId="1" r:id="rId1"/>
    <sheet name="GUARDA MAT. ERRADO" sheetId="2" r:id="rId2"/>
    <sheet name="CONFERENTES" sheetId="3" r:id="rId3"/>
    <sheet name="RESUMO_MENSAL" sheetId="4" r:id="rId4"/>
    <sheet name="LISTAS" sheetId="5" state="hidden" r:id="rId5"/>
  </sheets>
  <definedNames>
    <definedName name="_xlnm._FilterDatabase" localSheetId="2" hidden="1">CONFERENTES!$A$2:$E$102</definedName>
    <definedName name="_xlnm._FilterDatabase" localSheetId="1" hidden="1">'GUARDA MAT. ERRADO'!$A$2:$F$102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4" l="1"/>
  <c r="B34" i="4"/>
  <c r="B33" i="4"/>
  <c r="B31" i="4"/>
  <c r="B30" i="4"/>
  <c r="B29" i="4"/>
  <c r="B28" i="4"/>
  <c r="B27" i="4"/>
  <c r="B26" i="4"/>
  <c r="B25" i="4"/>
  <c r="B24" i="4"/>
  <c r="B23" i="4"/>
  <c r="B22" i="4"/>
  <c r="E21" i="4"/>
  <c r="B20" i="4"/>
  <c r="E19" i="4"/>
  <c r="B19" i="4"/>
  <c r="E18" i="4"/>
  <c r="B18" i="4"/>
  <c r="E17" i="4"/>
  <c r="B17" i="4"/>
  <c r="E16" i="4"/>
  <c r="B16" i="4"/>
  <c r="B15" i="4"/>
  <c r="E14" i="4"/>
  <c r="B14" i="4"/>
  <c r="E13" i="4"/>
  <c r="B13" i="4"/>
  <c r="E12" i="4"/>
  <c r="B12" i="4"/>
  <c r="E11" i="4"/>
  <c r="B11" i="4"/>
  <c r="E10" i="4"/>
  <c r="B10" i="4"/>
  <c r="E9" i="4"/>
  <c r="B9" i="4"/>
  <c r="M4" i="4"/>
  <c r="L4" i="4"/>
  <c r="K4" i="4"/>
  <c r="J4" i="4"/>
  <c r="I4" i="4"/>
  <c r="H4" i="4"/>
  <c r="G4" i="4"/>
  <c r="F4" i="4"/>
  <c r="E4" i="4"/>
  <c r="D4" i="4"/>
  <c r="C4" i="4"/>
  <c r="B4" i="4"/>
  <c r="M3" i="4"/>
  <c r="L3" i="4"/>
  <c r="K3" i="4"/>
  <c r="J3" i="4"/>
  <c r="I3" i="4"/>
  <c r="H3" i="4"/>
  <c r="G3" i="4"/>
  <c r="F3" i="4"/>
  <c r="E3" i="4"/>
  <c r="D3" i="4"/>
  <c r="C3" i="4"/>
  <c r="B3" i="4"/>
  <c r="O56" i="1"/>
  <c r="O55" i="1"/>
  <c r="O54" i="1"/>
  <c r="O52" i="1"/>
  <c r="O51" i="1"/>
  <c r="O50" i="1"/>
  <c r="O49" i="1"/>
  <c r="O48" i="1"/>
  <c r="O47" i="1"/>
  <c r="O46" i="1"/>
  <c r="O45" i="1"/>
  <c r="O44" i="1"/>
  <c r="O42" i="1"/>
  <c r="O41" i="1"/>
  <c r="O40" i="1"/>
  <c r="O39" i="1"/>
  <c r="O38" i="1"/>
  <c r="O37" i="1"/>
  <c r="O36" i="1"/>
  <c r="O35" i="1"/>
  <c r="O34" i="1"/>
  <c r="O33" i="1"/>
  <c r="O32" i="1"/>
  <c r="O31" i="1"/>
  <c r="M6" i="1"/>
  <c r="I6" i="1"/>
  <c r="E6" i="1"/>
  <c r="A6" i="1"/>
  <c r="L5" i="4" l="1"/>
  <c r="I5" i="4"/>
  <c r="E5" i="4"/>
  <c r="H5" i="4"/>
  <c r="G5" i="4"/>
  <c r="F5" i="4"/>
  <c r="J5" i="4"/>
  <c r="K5" i="4"/>
  <c r="M5" i="4"/>
  <c r="D5" i="4"/>
  <c r="C5" i="4"/>
  <c r="B5" i="4"/>
</calcChain>
</file>

<file path=xl/sharedStrings.xml><?xml version="1.0" encoding="utf-8"?>
<sst xmlns="http://schemas.openxmlformats.org/spreadsheetml/2006/main" count="577" uniqueCount="339">
  <si>
    <t>📊  DASHBOARD — CONTROLE DE QUALIDADE OPERACIONAL</t>
  </si>
  <si>
    <t>Sistema de Controle Operacional  •  Atualiza automaticamente conforme novos dados são inseridos nas abas GUARDA MAT. ERRADO e CONFERENTES</t>
  </si>
  <si>
    <t xml:space="preserve">  INDICADORES CHAVE DO MÊS ATUAL</t>
  </si>
  <si>
    <t>🔴  TOTAL DE ERROS NO MÊS</t>
  </si>
  <si>
    <t>🟠  ERROS — GUARDA MAT.</t>
  </si>
  <si>
    <t>🟡  ERROS — ETIQUETAS</t>
  </si>
  <si>
    <t>🟢  TOTAL ACUMULADO ANO</t>
  </si>
  <si>
    <t xml:space="preserve">  ANÁLISE VISUAL — GRÁFICOS DINÂMICOS</t>
  </si>
  <si>
    <t xml:space="preserve">  RANKING DE OPERADORES</t>
  </si>
  <si>
    <t>Operador</t>
  </si>
  <si>
    <t>Erros</t>
  </si>
  <si>
    <t>TURNO A</t>
  </si>
  <si>
    <t>CLEBERSON VALMIR DA SILVA</t>
  </si>
  <si>
    <t>A</t>
  </si>
  <si>
    <t>DENIS DA SILVA VITAL</t>
  </si>
  <si>
    <t>FRANCISCO MATHEUS CAMPINA MEDEIROS</t>
  </si>
  <si>
    <t>GUILHERME DE SOUZA PAIVA</t>
  </si>
  <si>
    <t>JAILTON PINHEIRO DOS SANTOS</t>
  </si>
  <si>
    <t>JOEL MARLON MOTA DOS SANTOS</t>
  </si>
  <si>
    <t>KAIQUE SA SILVA FERREIRA</t>
  </si>
  <si>
    <t>MARCELO SANTOS DA SILVA BORO</t>
  </si>
  <si>
    <t>MICHEL PEREIRA LIMA</t>
  </si>
  <si>
    <t>REINALDO DE SANTANA CARDOSO</t>
  </si>
  <si>
    <t>ULISSES GOMES DE CASTRO SILVA</t>
  </si>
  <si>
    <t>ULISSES SANTANA GUIMARAES</t>
  </si>
  <si>
    <t>TURNO B</t>
  </si>
  <si>
    <t>Antonio Carlos Giraud</t>
  </si>
  <si>
    <t>B</t>
  </si>
  <si>
    <t>Edson Carlos de Oliveira</t>
  </si>
  <si>
    <t>Wilson de Oliveira Araujo</t>
  </si>
  <si>
    <t>Marcos Fernando da Silva Santos</t>
  </si>
  <si>
    <t>Paulo Rogerio do Nascimento</t>
  </si>
  <si>
    <t>Diego Eduardinho</t>
  </si>
  <si>
    <t>Igor Amancio de Melo</t>
  </si>
  <si>
    <t>Alessandro Inacio Barros</t>
  </si>
  <si>
    <t>Robson dos Anjos</t>
  </si>
  <si>
    <t>TURNO C</t>
  </si>
  <si>
    <t>CAIO RODRIGUES DOS SANTOS</t>
  </si>
  <si>
    <t>C</t>
  </si>
  <si>
    <t>GUSTAVO LIMA FERREIRA</t>
  </si>
  <si>
    <t>MARCELO ALVES DOS SANTOS</t>
  </si>
  <si>
    <t>⚠  CONTROLE DE GUARDA DE MATERIAL ERRADO</t>
  </si>
  <si>
    <t>Data</t>
  </si>
  <si>
    <t>Sequência</t>
  </si>
  <si>
    <t>Localização</t>
  </si>
  <si>
    <t>Chave do Usuário</t>
  </si>
  <si>
    <t>Nome do Operador</t>
  </si>
  <si>
    <t>Onde Foi Encontrado</t>
  </si>
  <si>
    <t>950.706/001</t>
  </si>
  <si>
    <t>B  003 005 11</t>
  </si>
  <si>
    <t>F044854</t>
  </si>
  <si>
    <t>B 003 005 01</t>
  </si>
  <si>
    <t>462. 980/008</t>
  </si>
  <si>
    <t>T 005 053 07</t>
  </si>
  <si>
    <t>F044147</t>
  </si>
  <si>
    <t>Edmilson dos Santos</t>
  </si>
  <si>
    <t>T005 053 05</t>
  </si>
  <si>
    <t>449.579/001</t>
  </si>
  <si>
    <t>B  001 115 00</t>
  </si>
  <si>
    <t>F044567</t>
  </si>
  <si>
    <t>B 001 115 01</t>
  </si>
  <si>
    <t>456.189/006</t>
  </si>
  <si>
    <t>T 005 036 08</t>
  </si>
  <si>
    <t>F044590</t>
  </si>
  <si>
    <t>T006 036 08</t>
  </si>
  <si>
    <t>432.335/001</t>
  </si>
  <si>
    <t>T 019 036 07</t>
  </si>
  <si>
    <t>T020 036 07</t>
  </si>
  <si>
    <t>859.068/001</t>
  </si>
  <si>
    <t>T014 057 01</t>
  </si>
  <si>
    <t>T014 051 01</t>
  </si>
  <si>
    <t>392.160/001</t>
  </si>
  <si>
    <t>T009 006 02</t>
  </si>
  <si>
    <t>655.780/001</t>
  </si>
  <si>
    <t>B002 128 04</t>
  </si>
  <si>
    <t>B002 127 04</t>
  </si>
  <si>
    <t>🏷  CONTROLE DE ETIQUETAS ERRADAS — CONFERENTES</t>
  </si>
  <si>
    <t xml:space="preserve">COD CORRETO </t>
  </si>
  <si>
    <t xml:space="preserve">COD  ERRADO </t>
  </si>
  <si>
    <t>Nome do Conferente</t>
  </si>
  <si>
    <t>Tipo de Erro</t>
  </si>
  <si>
    <t>A  368 420 0338</t>
  </si>
  <si>
    <t>A  368 420 01 38</t>
  </si>
  <si>
    <t>Uandas de Andrade</t>
  </si>
  <si>
    <t>Material Etiquetado Errado</t>
  </si>
  <si>
    <t>RESUMO MENSAL — Tabela de Apoio ao Dashboard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</si>
  <si>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</si>
  <si>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</si>
  <si>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</si>
  <si>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</si>
  <si>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</si>
  <si>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</si>
  <si>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</si>
  <si>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</si>
  <si>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</si>
  <si>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</si>
  <si>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</si>
  <si>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</si>
  <si>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Guarda Mat. Errado</t>
  </si>
  <si>
    <t>Etiquetas Erradas</t>
  </si>
  <si>
    <t>TOTAL GERAL</t>
  </si>
  <si>
    <t>ERROS POR OPERADOR (GME)</t>
  </si>
  <si>
    <t>Qtd</t>
  </si>
  <si>
    <t>ERROS POR CONFERENTE</t>
  </si>
  <si>
    <t>ARTHUR HENRIQUE DE ALMEIDA MORENO</t>
  </si>
  <si>
    <t>EDVARD MESQUITA AZEVEDO SOBRINHO</t>
  </si>
  <si>
    <t>LIVIA DA SILVA COSTA</t>
  </si>
  <si>
    <t>LUANA PAULA DOS SANTOS</t>
  </si>
  <si>
    <t>MARIA FERNANDA GOMES DE OLIVEIRA</t>
  </si>
  <si>
    <t>PATRICK ROCHA MOREIRA</t>
  </si>
  <si>
    <t>Guilherme Fumes</t>
  </si>
  <si>
    <t>Bianca Edwiges</t>
  </si>
  <si>
    <t>Chyrleide da Silva Sousa</t>
  </si>
  <si>
    <t>GUARDAS</t>
  </si>
  <si>
    <t>CONFERENTES</t>
  </si>
  <si>
    <t>454.280/005</t>
  </si>
  <si>
    <t>b001 147 01</t>
  </si>
  <si>
    <t>F044581</t>
  </si>
  <si>
    <t>B003 147 01</t>
  </si>
  <si>
    <t>A 967 260 32 01</t>
  </si>
  <si>
    <t>R 9583573101</t>
  </si>
  <si>
    <t>A  9240101413</t>
  </si>
  <si>
    <t xml:space="preserve">NAO SE APLICA </t>
  </si>
  <si>
    <t>Erro F3</t>
  </si>
  <si>
    <t>A  460 150 40 33</t>
  </si>
  <si>
    <t>Etiqueta Duplicada</t>
  </si>
  <si>
    <t>881.222/001</t>
  </si>
  <si>
    <t>T016 07 04</t>
  </si>
  <si>
    <t>F044572</t>
  </si>
  <si>
    <t>T016 017 01</t>
  </si>
  <si>
    <t>421.224/001</t>
  </si>
  <si>
    <t>T012 029 04</t>
  </si>
  <si>
    <t>F044717</t>
  </si>
  <si>
    <t>T014 029 04</t>
  </si>
  <si>
    <t>316.989/001</t>
  </si>
  <si>
    <t>B 003 058 09</t>
  </si>
  <si>
    <t>B 003 058 08</t>
  </si>
  <si>
    <t>291.005/001</t>
  </si>
  <si>
    <t>B001 168 04</t>
  </si>
  <si>
    <t>B001 168 03</t>
  </si>
  <si>
    <t>269.763/019</t>
  </si>
  <si>
    <t>T007 011 00</t>
  </si>
  <si>
    <t>F044569</t>
  </si>
  <si>
    <t>T017 011 00</t>
  </si>
  <si>
    <t>292.158/003</t>
  </si>
  <si>
    <t>T007 005 05</t>
  </si>
  <si>
    <t>T006 105 05</t>
  </si>
  <si>
    <t>117.276/001</t>
  </si>
  <si>
    <t>T004 006 05</t>
  </si>
  <si>
    <t>T006 006 07</t>
  </si>
  <si>
    <t>929.600/001</t>
  </si>
  <si>
    <t>T004 065 06</t>
  </si>
  <si>
    <t>F044722</t>
  </si>
  <si>
    <t>T004 065 07</t>
  </si>
  <si>
    <t>703.080/001</t>
  </si>
  <si>
    <t>T004 064 07</t>
  </si>
  <si>
    <t>T004 064 05</t>
  </si>
  <si>
    <t>159.514/001</t>
  </si>
  <si>
    <t>T004 031 07</t>
  </si>
  <si>
    <t>F044562</t>
  </si>
  <si>
    <t>T004 030 07</t>
  </si>
  <si>
    <t>138.703/001</t>
  </si>
  <si>
    <t>B003 135 00</t>
  </si>
  <si>
    <t>B003 135 01</t>
  </si>
  <si>
    <t>138.703/002</t>
  </si>
  <si>
    <t>B003 151 01</t>
  </si>
  <si>
    <t>141.668/007</t>
  </si>
  <si>
    <t>B002 104 02</t>
  </si>
  <si>
    <t>B002 104 01</t>
  </si>
  <si>
    <t>652.536/001</t>
  </si>
  <si>
    <t>B001 165 04</t>
  </si>
  <si>
    <t>F044392</t>
  </si>
  <si>
    <t>B001 165 03</t>
  </si>
  <si>
    <t>054.047/001</t>
  </si>
  <si>
    <t>T016 029 05</t>
  </si>
  <si>
    <t>19.251/001</t>
  </si>
  <si>
    <t>T009 075 06</t>
  </si>
  <si>
    <t>T009 075 08</t>
  </si>
  <si>
    <t>A 926 031 10 01</t>
  </si>
  <si>
    <t>A 906 031 1601</t>
  </si>
  <si>
    <t>932.405/001</t>
  </si>
  <si>
    <t>T004 103 02</t>
  </si>
  <si>
    <t>F044678</t>
  </si>
  <si>
    <t>T006 103 02</t>
  </si>
  <si>
    <t>929.662/001</t>
  </si>
  <si>
    <t>T006 061 06</t>
  </si>
  <si>
    <t>T006 061 05</t>
  </si>
  <si>
    <t>991.155/001</t>
  </si>
  <si>
    <t>B002 052 04</t>
  </si>
  <si>
    <t>F044902</t>
  </si>
  <si>
    <t>B002 052 08</t>
  </si>
  <si>
    <t>968.354/001</t>
  </si>
  <si>
    <t>t026 012 01</t>
  </si>
  <si>
    <t>f044902</t>
  </si>
  <si>
    <t>T025 012 01</t>
  </si>
  <si>
    <t>486.155/004</t>
  </si>
  <si>
    <t>T005 030 09</t>
  </si>
  <si>
    <t>T005 030 07</t>
  </si>
  <si>
    <t>A  472 202 14 19</t>
  </si>
  <si>
    <t>Erro na Quantidade</t>
  </si>
  <si>
    <t>A 906 016 07 69</t>
  </si>
  <si>
    <t xml:space="preserve">LOCACAO ERRADA </t>
  </si>
  <si>
    <t>481.349/001</t>
  </si>
  <si>
    <t>t009 003 00</t>
  </si>
  <si>
    <t>f044570</t>
  </si>
  <si>
    <t>t010 008 00</t>
  </si>
  <si>
    <t>A  947 260 95 61</t>
  </si>
  <si>
    <t>A 7152603061</t>
  </si>
  <si>
    <t>A  9702623437</t>
  </si>
  <si>
    <t>A  9242340212</t>
  </si>
  <si>
    <t>A 9042340212</t>
  </si>
  <si>
    <t>485.948/001</t>
  </si>
  <si>
    <t>T008 005 05</t>
  </si>
  <si>
    <t>F044570</t>
  </si>
  <si>
    <t>T008 005 004</t>
  </si>
  <si>
    <t>A  629 350 16 30</t>
  </si>
  <si>
    <t>A 9583504930</t>
  </si>
  <si>
    <t>983.529/001</t>
  </si>
  <si>
    <t>T005 048 09</t>
  </si>
  <si>
    <t>F044815</t>
  </si>
  <si>
    <t>T008 048 09</t>
  </si>
  <si>
    <t>468788/001</t>
  </si>
  <si>
    <t>T005 095 04</t>
  </si>
  <si>
    <t>T008 095 04</t>
  </si>
  <si>
    <t>420.705/012</t>
  </si>
  <si>
    <t>T007 098 04</t>
  </si>
  <si>
    <t>T008 098 04</t>
  </si>
  <si>
    <t>517.904/001</t>
  </si>
  <si>
    <t>T007 098 06</t>
  </si>
  <si>
    <t>T008 98 06</t>
  </si>
  <si>
    <t>985874/001</t>
  </si>
  <si>
    <t>T009 008 06</t>
  </si>
  <si>
    <t>T009 008 05</t>
  </si>
  <si>
    <t>A  3684200238</t>
  </si>
  <si>
    <t>A  9614200438</t>
  </si>
  <si>
    <t>985863/001</t>
  </si>
  <si>
    <t>t004 100 06</t>
  </si>
  <si>
    <t>f044815</t>
  </si>
  <si>
    <t>T010 100 06</t>
  </si>
  <si>
    <t>517.455/006</t>
  </si>
  <si>
    <t>t013 018 07</t>
  </si>
  <si>
    <t>f044717</t>
  </si>
  <si>
    <t>t013 018 06</t>
  </si>
  <si>
    <t>684.178/001</t>
  </si>
  <si>
    <t>T007 008 04</t>
  </si>
  <si>
    <t>T007 008 01</t>
  </si>
  <si>
    <t>529.835/001</t>
  </si>
  <si>
    <t>T011 025 01</t>
  </si>
  <si>
    <t>T014 025 01</t>
  </si>
  <si>
    <t>446.993/001</t>
  </si>
  <si>
    <t>T012 015 05</t>
  </si>
  <si>
    <t>T014 015 05</t>
  </si>
  <si>
    <t>574.837/002</t>
  </si>
  <si>
    <t>t012 049 03</t>
  </si>
  <si>
    <t>T014 049 03</t>
  </si>
  <si>
    <t>642.593/001</t>
  </si>
  <si>
    <t>T014 052 05</t>
  </si>
  <si>
    <t>T014 052 04</t>
  </si>
  <si>
    <t>730.061/001</t>
  </si>
  <si>
    <t>T013 068 01</t>
  </si>
  <si>
    <t>T014 068 01</t>
  </si>
  <si>
    <t>576.661/006</t>
  </si>
  <si>
    <t>T006 040 09</t>
  </si>
  <si>
    <t>A  961 500 40 00</t>
  </si>
  <si>
    <t>578.909/001</t>
  </si>
  <si>
    <t>T016 047 03</t>
  </si>
  <si>
    <t>519809/001</t>
  </si>
  <si>
    <t>T019 030 03</t>
  </si>
  <si>
    <t>T019 030 02</t>
  </si>
  <si>
    <t xml:space="preserve">T006 040 09 </t>
  </si>
  <si>
    <t>827858/001</t>
  </si>
  <si>
    <t>B001 149 04</t>
  </si>
  <si>
    <t>B001 146 04</t>
  </si>
  <si>
    <t>760.033/001</t>
  </si>
  <si>
    <t>B002 107 03</t>
  </si>
  <si>
    <t>B002 107 02</t>
  </si>
  <si>
    <t>628.695/001</t>
  </si>
  <si>
    <t>B003 009 00</t>
  </si>
  <si>
    <t>F044571</t>
  </si>
  <si>
    <t>B003 008 00</t>
  </si>
  <si>
    <t>635.150/001</t>
  </si>
  <si>
    <t>B003 005 11</t>
  </si>
  <si>
    <t>F044592</t>
  </si>
  <si>
    <t>B003 002 11</t>
  </si>
  <si>
    <t>647.377/001</t>
  </si>
  <si>
    <t>B002 101 06</t>
  </si>
  <si>
    <t>B003 101 06</t>
  </si>
  <si>
    <t>647.378/001</t>
  </si>
  <si>
    <t>B002 101 07</t>
  </si>
  <si>
    <t>B003 101 07</t>
  </si>
  <si>
    <t>661580/006</t>
  </si>
  <si>
    <t>T001 022 05</t>
  </si>
  <si>
    <t>T001 022 06</t>
  </si>
  <si>
    <t>682.796/003</t>
  </si>
  <si>
    <t>B002 117 01</t>
  </si>
  <si>
    <t>B002 117 07</t>
  </si>
  <si>
    <t>942.668/001</t>
  </si>
  <si>
    <t>T005 053 01</t>
  </si>
  <si>
    <t>T006 053 01</t>
  </si>
  <si>
    <t>589.312/001</t>
  </si>
  <si>
    <t>T008 029 02</t>
  </si>
  <si>
    <t>F044582</t>
  </si>
  <si>
    <t>T007 030 01</t>
  </si>
  <si>
    <t>601165/001</t>
  </si>
  <si>
    <t>T007 077 07</t>
  </si>
  <si>
    <t>T007 077 01</t>
  </si>
  <si>
    <t>703.985/005</t>
  </si>
  <si>
    <t>T008 006 07</t>
  </si>
  <si>
    <t>T008 007 05</t>
  </si>
  <si>
    <t>733.765/004</t>
  </si>
  <si>
    <t>T009 015 06</t>
  </si>
  <si>
    <t>T008 015 06</t>
  </si>
  <si>
    <t>630.367/011</t>
  </si>
  <si>
    <t>T013 030 06</t>
  </si>
  <si>
    <t>T011 030 06</t>
  </si>
  <si>
    <t>748.904/001</t>
  </si>
  <si>
    <t>T011 038 00</t>
  </si>
  <si>
    <t>T012 038 00</t>
  </si>
  <si>
    <t>740.829/005</t>
  </si>
  <si>
    <t>T012 009 04</t>
  </si>
  <si>
    <t>T012 001 004</t>
  </si>
  <si>
    <t>620.096/007</t>
  </si>
  <si>
    <t>T014 020 03</t>
  </si>
  <si>
    <t>T014 020 04</t>
  </si>
  <si>
    <t>973635/001</t>
  </si>
  <si>
    <t>T015 023 04</t>
  </si>
  <si>
    <t>T015 023 01</t>
  </si>
  <si>
    <t>746.745/001</t>
  </si>
  <si>
    <t>T015 029 01</t>
  </si>
  <si>
    <t>T015 029 00</t>
  </si>
  <si>
    <t>626.681/001</t>
  </si>
  <si>
    <t>T013 69 05</t>
  </si>
  <si>
    <t>T014 069 05</t>
  </si>
  <si>
    <t>752.524/001</t>
  </si>
  <si>
    <t>T013 053 05</t>
  </si>
  <si>
    <t>T016 053 05</t>
  </si>
  <si>
    <t>558.446/001</t>
  </si>
  <si>
    <t>T019 014 08</t>
  </si>
  <si>
    <t>T019 014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</si>
</sst>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0"/>
      <color rgb="FFCCCCCC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26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b/>
      <sz val="14"/>
      <color rgb="FFFFFFFF"/>
      <name val="Calibri"/>
      <family val="2"/>
    </font>
    <font>
      <sz val="10"/>
      <color rgb="FF40404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0"/>
      <color rgb="FF404040"/>
      <name val="Calibri"/>
      <family val="2"/>
    </font>
    <font>
      <sz val="8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C55A11"/>
        <bgColor rgb="FFED7D31"/>
      </patternFill>
    </fill>
    <fill>
      <patternFill patternType="solid">
        <fgColor rgb="FFBF9000"/>
        <bgColor rgb="FFED7D31"/>
      </patternFill>
    </fill>
    <fill>
      <patternFill patternType="solid">
        <fgColor rgb="FF375623"/>
        <bgColor rgb="FF1E4620"/>
      </patternFill>
    </fill>
    <fill>
      <patternFill patternType="solid">
        <fgColor rgb="FF843C0C"/>
        <bgColor rgb="FF7F6000"/>
      </patternFill>
    </fill>
    <fill>
      <patternFill patternType="solid">
        <fgColor rgb="FF7F6000"/>
        <bgColor rgb="FF843C0C"/>
      </patternFill>
    </fill>
    <fill>
      <patternFill patternType="solid">
        <fgColor rgb="FF1E4620"/>
        <bgColor rgb="FF37562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404040"/>
        <bgColor rgb="FF375623"/>
      </patternFill>
    </fill>
    <fill>
      <patternFill patternType="solid">
        <fgColor rgb="FFBDD7EE"/>
        <bgColor rgb="FFCCCCCC"/>
      </patternFill>
    </fill>
    <fill>
      <patternFill patternType="solid">
        <fgColor rgb="FF4472C4"/>
        <bgColor rgb="FF2E75B6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9" fillId="10" borderId="4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14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center" vertical="center"/>
    </xf>
    <xf numFmtId="3" fontId="9" fillId="10" borderId="4" xfId="0" applyNumberFormat="1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/>
    </xf>
    <xf numFmtId="0" fontId="0" fillId="17" borderId="0" xfId="0" applyFill="1"/>
    <xf numFmtId="0" fontId="11" fillId="0" borderId="0" xfId="0" applyFont="1"/>
    <xf numFmtId="0" fontId="17" fillId="0" borderId="0" xfId="0" applyFont="1"/>
    <xf numFmtId="0" fontId="18" fillId="11" borderId="4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15" borderId="8" xfId="0" applyFont="1" applyFill="1" applyBorder="1" applyAlignment="1">
      <alignment horizontal="center"/>
    </xf>
    <xf numFmtId="0" fontId="11" fillId="15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4" fillId="0" borderId="8" xfId="0" applyFont="1" applyBorder="1"/>
    <xf numFmtId="0" fontId="13" fillId="16" borderId="8" xfId="0" applyFont="1" applyFill="1" applyBorder="1" applyAlignment="1">
      <alignment horizontal="center"/>
    </xf>
    <xf numFmtId="0" fontId="11" fillId="16" borderId="8" xfId="0" applyFont="1" applyFill="1" applyBorder="1"/>
    <xf numFmtId="0" fontId="13" fillId="17" borderId="8" xfId="0" applyFont="1" applyFill="1" applyBorder="1" applyAlignment="1">
      <alignment horizontal="center"/>
    </xf>
    <xf numFmtId="0" fontId="11" fillId="17" borderId="8" xfId="0" applyFont="1" applyFill="1" applyBorder="1"/>
    <xf numFmtId="0" fontId="11" fillId="0" borderId="8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/>
    <xf numFmtId="0" fontId="0" fillId="0" borderId="8" xfId="0" applyBorder="1"/>
    <xf numFmtId="0" fontId="16" fillId="0" borderId="9" xfId="0" applyFont="1" applyBorder="1" applyAlignment="1">
      <alignment horizontal="left" vertical="center"/>
    </xf>
    <xf numFmtId="0" fontId="16" fillId="0" borderId="9" xfId="0" applyFont="1" applyBorder="1"/>
    <xf numFmtId="0" fontId="0" fillId="0" borderId="9" xfId="0" applyBorder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5" xfId="0" applyBorder="1"/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5" fillId="18" borderId="11" xfId="0" applyFont="1" applyFill="1" applyBorder="1" applyAlignment="1">
      <alignment horizontal="center"/>
    </xf>
    <xf numFmtId="0" fontId="15" fillId="19" borderId="13" xfId="0" applyFont="1" applyFill="1" applyBorder="1" applyAlignment="1">
      <alignment horizontal="center"/>
    </xf>
    <xf numFmtId="0" fontId="15" fillId="19" borderId="14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C55A11"/>
      <rgbColor rgb="FFF9F9F9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CCCCC"/>
      <rgbColor rgb="FFFF99CC"/>
      <rgbColor rgb="FFCC99FF"/>
      <rgbColor rgb="FFFFD966"/>
      <rgbColor rgb="FF4472C4"/>
      <rgbColor rgb="FF33CCCC"/>
      <rgbColor rgb="FF99CC00"/>
      <rgbColor rgb="FFFFCC00"/>
      <rgbColor rgb="FFBF9000"/>
      <rgbColor rgb="FFED7D31"/>
      <rgbColor rgb="FF4F81BD"/>
      <rgbColor rgb="FF878787"/>
      <rgbColor rgb="FF1F3864"/>
      <rgbColor rgb="FF70AD47"/>
      <rgbColor rgb="FF375623"/>
      <rgbColor rgb="FF1E4620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Erros por Operador (Guarda de Material)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RESUMO_MENSAL!$B$7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1F3864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RESUMO_MENSAL!$A$8:$A$17</c:f>
              <c:strCache>
                <c:ptCount val="10"/>
                <c:pt idx="0">
                  <c:v>TURNO A</c:v>
                </c:pt>
                <c:pt idx="1">
                  <c:v>CLEBERSON VALMIR DA SILVA</c:v>
                </c:pt>
                <c:pt idx="2">
                  <c:v>DENIS DA SILVA VITAL</c:v>
                </c:pt>
                <c:pt idx="3">
                  <c:v>FRANCISCO MATHEUS CAMPINA MEDEIROS</c:v>
                </c:pt>
                <c:pt idx="4">
                  <c:v>GUILHERME DE SOUZA PAIVA</c:v>
                </c:pt>
                <c:pt idx="5">
                  <c:v>JAILTON PINHEIRO DOS SANTOS</c:v>
                </c:pt>
                <c:pt idx="6">
                  <c:v>JOEL MARLON MOTA DOS SANTOS</c:v>
                </c:pt>
                <c:pt idx="7">
                  <c:v>KAIQUE SA SILVA FERREIRA</c:v>
                </c:pt>
                <c:pt idx="8">
                  <c:v>MARCELO SANTOS DA SILVA BORO</c:v>
                </c:pt>
                <c:pt idx="9">
                  <c:v>MICHEL PEREIRA LIMA</c:v>
                </c:pt>
              </c:strCache>
            </c:strRef>
          </c:cat>
          <c:val>
            <c:numRef>
              <c:f>RESUMO_MENSAL!$B$8:$B$17</c:f>
              <c:numCache>
                <c:formatCode>General</c:formatCode>
                <c:ptCount val="10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7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0-4670-934C-6F3B037A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71744"/>
        <c:axId val="75546652"/>
      </c:barChart>
      <c:catAx>
        <c:axId val="30671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Operador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546652"/>
        <c:crosses val="autoZero"/>
        <c:auto val="1"/>
        <c:lblAlgn val="ctr"/>
        <c:lblOffset val="100"/>
        <c:noMultiLvlLbl val="0"/>
      </c:catAx>
      <c:valAx>
        <c:axId val="75546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067174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7</xdr:col>
      <xdr:colOff>64800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R56"/>
  <sheetViews>
    <sheetView showGridLines="0" topLeftCell="A27" zoomScaleNormal="100" workbookViewId="0">
      <selection activeCell="O51" sqref="O51"/>
    </sheetView>
  </sheetViews>
  <sheetFormatPr defaultColWidth="8.7109375" defaultRowHeight="15" x14ac:dyDescent="0.25"/>
  <cols>
    <col min="1" max="11" width="13" customWidth="1"/>
    <col min="12" max="12" width="22.7109375" customWidth="1"/>
    <col min="13" max="19" width="13" customWidth="1"/>
  </cols>
  <sheetData>
    <row r="1" spans="1:18" ht="43.5" customHeight="1" x14ac:dyDescent="0.25">
      <c r="A1" s="50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19.5" customHeight="1" x14ac:dyDescent="0.25">
      <c r="A2" s="45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x14ac:dyDescent="0.25">
      <c r="A3" s="56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25.5" customHeight="1" x14ac:dyDescent="0.25">
      <c r="A4" s="5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18" ht="25.5" customHeight="1" x14ac:dyDescent="0.25">
      <c r="A5" s="55" t="s">
        <v>3</v>
      </c>
      <c r="B5" s="47"/>
      <c r="C5" s="47"/>
      <c r="D5" s="47"/>
      <c r="E5" s="51" t="s">
        <v>4</v>
      </c>
      <c r="F5" s="47"/>
      <c r="G5" s="47"/>
      <c r="H5" s="47"/>
      <c r="I5" s="52" t="s">
        <v>5</v>
      </c>
      <c r="J5" s="47"/>
      <c r="K5" s="47"/>
      <c r="L5" s="47"/>
      <c r="M5" s="54" t="s">
        <v>6</v>
      </c>
      <c r="N5" s="47"/>
      <c r="O5" s="47"/>
      <c r="P5" s="47"/>
    </row>
    <row r="6" spans="1:18" ht="42" customHeight="1" x14ac:dyDescent="0.25">
      <c r="A6" s="64">
        <f ca="1">SUMPRODUCT((MONTH('GUARDA MAT. ERRADO'!A3:A102)=MONTH(TODAY()))*(YEAR('GUARDA MAT. ERRADO'!A3:A102)=YEAR(TODAY()))*('GUARDA MAT. ERRADO'!A3:A102&lt;&gt;""))+SUMPRODUCT((MONTH(CONFERENTES!A3:A102)=MONTH(TODAY()))*(YEAR(CONFERENTES!A3:A102)=YEAR(TODAY()))*(CONFERENTES!A3:A102&lt;&gt;""))</f>
        <v>0</v>
      </c>
      <c r="B6" s="47"/>
      <c r="C6" s="47"/>
      <c r="D6" s="47"/>
      <c r="E6" s="46">
        <f ca="1">SUMPRODUCT((MONTH('GUARDA MAT. ERRADO'!A3:A102)=MONTH(TODAY()))*(YEAR('GUARDA MAT. ERRADO'!A3:A102)=YEAR(TODAY()))*('GUARDA MAT. ERRADO'!A3:A102&lt;&gt;""))</f>
        <v>0</v>
      </c>
      <c r="F6" s="47"/>
      <c r="G6" s="47"/>
      <c r="H6" s="47"/>
      <c r="I6" s="48">
        <f ca="1">SUMPRODUCT((MONTH(CONFERENTES!A3:A102)=MONTH(TODAY()))*(YEAR(CONFERENTES!A3:A102)=YEAR(TODAY()))*(CONFERENTES!A3:A102&lt;&gt;""))</f>
        <v>0</v>
      </c>
      <c r="J6" s="47"/>
      <c r="K6" s="47"/>
      <c r="L6" s="47"/>
      <c r="M6" s="49">
        <f ca="1">SUMPRODUCT((YEAR('GUARDA MAT. ERRADO'!A3:A102)=YEAR(TODAY()))*('GUARDA MAT. ERRADO'!A3:A102&lt;&gt;""))+SUMPRODUCT((YEAR(CONFERENTES!A3:A102)=YEAR(TODAY()))*(CONFERENTES!A3:A102&lt;&gt;""))</f>
        <v>83</v>
      </c>
      <c r="N6" s="47"/>
      <c r="O6" s="47"/>
      <c r="P6" s="47"/>
    </row>
    <row r="7" spans="1:18" ht="9.75" customHeight="1" x14ac:dyDescent="0.25"/>
    <row r="8" spans="1:18" ht="25.5" customHeight="1" x14ac:dyDescent="0.25">
      <c r="A8" s="53" t="s">
        <v>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</row>
    <row r="27" spans="12:18" ht="71.25" customHeight="1" x14ac:dyDescent="0.25"/>
    <row r="28" spans="12:18" ht="24" customHeight="1" x14ac:dyDescent="0.25">
      <c r="L28" s="60" t="s">
        <v>8</v>
      </c>
      <c r="M28" s="60"/>
      <c r="N28" s="60"/>
      <c r="O28" s="60"/>
      <c r="P28" s="60"/>
      <c r="Q28" s="60"/>
      <c r="R28" s="60"/>
    </row>
    <row r="29" spans="12:18" ht="15" customHeight="1" x14ac:dyDescent="0.25">
      <c r="L29" s="1" t="s">
        <v>9</v>
      </c>
      <c r="M29" s="61" t="s">
        <v>10</v>
      </c>
      <c r="N29" s="62"/>
      <c r="O29" s="62"/>
      <c r="P29" s="62"/>
      <c r="Q29" s="62"/>
      <c r="R29" s="63"/>
    </row>
    <row r="30" spans="12:18" ht="18" customHeight="1" x14ac:dyDescent="0.25">
      <c r="L30" s="58" t="s">
        <v>11</v>
      </c>
      <c r="M30" s="59"/>
      <c r="N30" s="59"/>
      <c r="O30" s="59"/>
    </row>
    <row r="31" spans="12:18" ht="18" customHeight="1" x14ac:dyDescent="0.25">
      <c r="L31" s="34" t="s">
        <v>12</v>
      </c>
      <c r="M31" s="35" t="s">
        <v>13</v>
      </c>
      <c r="N31" s="36"/>
      <c r="O31" s="42">
        <f>COUNTIF('GUARDA MAT. ERRADO'!E3:E202,L31)</f>
        <v>1</v>
      </c>
    </row>
    <row r="32" spans="12:18" ht="18" customHeight="1" x14ac:dyDescent="0.25">
      <c r="L32" s="34" t="s">
        <v>14</v>
      </c>
      <c r="M32" s="35" t="s">
        <v>13</v>
      </c>
      <c r="N32" s="36"/>
      <c r="O32" s="42">
        <f>COUNTIF('GUARDA MAT. ERRADO'!E3:E202,L32)</f>
        <v>0</v>
      </c>
    </row>
    <row r="33" spans="12:15" ht="18" customHeight="1" x14ac:dyDescent="0.25">
      <c r="L33" s="34" t="s">
        <v>15</v>
      </c>
      <c r="M33" s="35" t="s">
        <v>13</v>
      </c>
      <c r="N33" s="36"/>
      <c r="O33" s="42">
        <f>COUNTIF('GUARDA MAT. ERRADO'!E3:E202,L33)</f>
        <v>0</v>
      </c>
    </row>
    <row r="34" spans="12:15" ht="18" customHeight="1" x14ac:dyDescent="0.25">
      <c r="L34" s="34" t="s">
        <v>16</v>
      </c>
      <c r="M34" s="35" t="s">
        <v>13</v>
      </c>
      <c r="N34" s="36"/>
      <c r="O34" s="42">
        <f>COUNTIF('GUARDA MAT. ERRADO'!E3:E202,L34)</f>
        <v>0</v>
      </c>
    </row>
    <row r="35" spans="12:15" ht="18" customHeight="1" x14ac:dyDescent="0.25">
      <c r="L35" s="34" t="s">
        <v>17</v>
      </c>
      <c r="M35" s="35" t="s">
        <v>13</v>
      </c>
      <c r="N35" s="36"/>
      <c r="O35" s="42">
        <f>COUNTIF('GUARDA MAT. ERRADO'!E3:E202,L35)</f>
        <v>4</v>
      </c>
    </row>
    <row r="36" spans="12:15" ht="18" customHeight="1" x14ac:dyDescent="0.25">
      <c r="L36" s="34" t="s">
        <v>18</v>
      </c>
      <c r="M36" s="35" t="s">
        <v>13</v>
      </c>
      <c r="N36" s="36"/>
      <c r="O36" s="42">
        <f>COUNTIF('GUARDA MAT. ERRADO'!E3:E202,L36)</f>
        <v>0</v>
      </c>
    </row>
    <row r="37" spans="12:15" ht="18" customHeight="1" x14ac:dyDescent="0.25">
      <c r="L37" s="34" t="s">
        <v>19</v>
      </c>
      <c r="M37" s="35" t="s">
        <v>13</v>
      </c>
      <c r="N37" s="36"/>
      <c r="O37" s="41">
        <f>COUNTIF('GUARDA MAT. ERRADO'!E3:E202,L37)</f>
        <v>7</v>
      </c>
    </row>
    <row r="38" spans="12:15" ht="18" customHeight="1" x14ac:dyDescent="0.25">
      <c r="L38" s="34" t="s">
        <v>20</v>
      </c>
      <c r="M38" s="35" t="s">
        <v>13</v>
      </c>
      <c r="N38" s="36"/>
      <c r="O38" s="33">
        <f>COUNTIF('GUARDA MAT. ERRADO'!E3:E202,L38)</f>
        <v>4</v>
      </c>
    </row>
    <row r="39" spans="12:15" ht="18" customHeight="1" x14ac:dyDescent="0.25">
      <c r="L39" s="37" t="s">
        <v>21</v>
      </c>
      <c r="M39" s="38" t="s">
        <v>13</v>
      </c>
      <c r="N39" s="39"/>
      <c r="O39" s="40">
        <f>COUNTIF('GUARDA MAT. ERRADO'!E3:E202,L39)</f>
        <v>4</v>
      </c>
    </row>
    <row r="40" spans="12:15" x14ac:dyDescent="0.25">
      <c r="L40" s="35" t="s">
        <v>22</v>
      </c>
      <c r="M40" s="35" t="s">
        <v>13</v>
      </c>
      <c r="N40" s="36"/>
      <c r="O40" s="35">
        <f>COUNTIF('GUARDA MAT. ERRADO'!E3:E202,L40)</f>
        <v>1</v>
      </c>
    </row>
    <row r="41" spans="12:15" x14ac:dyDescent="0.25">
      <c r="L41" s="35" t="s">
        <v>23</v>
      </c>
      <c r="M41" s="35" t="s">
        <v>13</v>
      </c>
      <c r="N41" s="36"/>
      <c r="O41" s="35">
        <f>COUNTIF('GUARDA MAT. ERRADO'!E3:E202,L41)</f>
        <v>3</v>
      </c>
    </row>
    <row r="42" spans="12:15" x14ac:dyDescent="0.25">
      <c r="L42" s="35" t="s">
        <v>24</v>
      </c>
      <c r="M42" s="35" t="s">
        <v>13</v>
      </c>
      <c r="N42" s="36"/>
      <c r="O42" s="35">
        <f>COUNTIF('GUARDA MAT. ERRADO'!E3:E202,L42)</f>
        <v>3</v>
      </c>
    </row>
    <row r="43" spans="12:15" x14ac:dyDescent="0.25">
      <c r="L43" s="57" t="s">
        <v>25</v>
      </c>
      <c r="M43" s="57"/>
      <c r="N43" s="57"/>
      <c r="O43" s="57"/>
    </row>
    <row r="44" spans="12:15" x14ac:dyDescent="0.25">
      <c r="L44" s="35" t="s">
        <v>26</v>
      </c>
      <c r="M44" s="35" t="s">
        <v>27</v>
      </c>
      <c r="N44" s="36"/>
      <c r="O44" s="35">
        <f>COUNTIF('GUARDA MAT. ERRADO'!E3:E202,L44)</f>
        <v>4</v>
      </c>
    </row>
    <row r="45" spans="12:15" x14ac:dyDescent="0.25">
      <c r="L45" s="35" t="s">
        <v>28</v>
      </c>
      <c r="M45" s="35" t="s">
        <v>27</v>
      </c>
      <c r="N45" s="36"/>
      <c r="O45" s="35">
        <f>COUNTIF('GUARDA MAT. ERRADO'!E3:E202,L45)</f>
        <v>0</v>
      </c>
    </row>
    <row r="46" spans="12:15" ht="19.5" customHeight="1" x14ac:dyDescent="0.25">
      <c r="L46" s="35" t="s">
        <v>29</v>
      </c>
      <c r="M46" s="35" t="s">
        <v>27</v>
      </c>
      <c r="N46" s="36"/>
      <c r="O46" s="35">
        <f>COUNTIF('GUARDA MAT. ERRADO'!E3:E202,L46)</f>
        <v>0</v>
      </c>
    </row>
    <row r="47" spans="12:15" x14ac:dyDescent="0.25">
      <c r="L47" s="35" t="s">
        <v>30</v>
      </c>
      <c r="M47" s="35" t="s">
        <v>27</v>
      </c>
      <c r="N47" s="36"/>
      <c r="O47" s="35">
        <f>COUNTIF('GUARDA MAT. ERRADO'!E3:E202,L47)</f>
        <v>2</v>
      </c>
    </row>
    <row r="48" spans="12:15" x14ac:dyDescent="0.25">
      <c r="L48" s="35" t="s">
        <v>31</v>
      </c>
      <c r="M48" s="35" t="s">
        <v>27</v>
      </c>
      <c r="N48" s="36"/>
      <c r="O48" s="35">
        <f>COUNTIF('GUARDA MAT. ERRADO'!E3:E202,L48)</f>
        <v>0</v>
      </c>
    </row>
    <row r="49" spans="12:15" x14ac:dyDescent="0.25">
      <c r="L49" s="35" t="s">
        <v>32</v>
      </c>
      <c r="M49" s="35" t="s">
        <v>27</v>
      </c>
      <c r="N49" s="36"/>
      <c r="O49" s="35">
        <f>COUNTIF('GUARDA MAT. ERRADO'!E3:E202,L49)</f>
        <v>1</v>
      </c>
    </row>
    <row r="50" spans="12:15" x14ac:dyDescent="0.25">
      <c r="L50" s="35" t="s">
        <v>33</v>
      </c>
      <c r="M50" s="35" t="s">
        <v>27</v>
      </c>
      <c r="N50" s="36"/>
      <c r="O50" s="35">
        <f>COUNTIF('GUARDA MAT. ERRADO'!E3:E202,L50)</f>
        <v>4</v>
      </c>
    </row>
    <row r="51" spans="12:15" x14ac:dyDescent="0.25">
      <c r="L51" s="35" t="s">
        <v>34</v>
      </c>
      <c r="M51" s="35" t="s">
        <v>27</v>
      </c>
      <c r="N51" s="36"/>
      <c r="O51" s="35">
        <f>COUNTIF('GUARDA MAT. ERRADO'!E3:E202,L51)</f>
        <v>4</v>
      </c>
    </row>
    <row r="52" spans="12:15" x14ac:dyDescent="0.25">
      <c r="L52" s="35" t="s">
        <v>35</v>
      </c>
      <c r="M52" s="35" t="s">
        <v>27</v>
      </c>
      <c r="N52" s="36"/>
      <c r="O52" s="35">
        <f>COUNTIF('GUARDA MAT. ERRADO'!E3:E202,L52)</f>
        <v>2</v>
      </c>
    </row>
    <row r="53" spans="12:15" x14ac:dyDescent="0.25">
      <c r="L53" s="16" t="s">
        <v>36</v>
      </c>
      <c r="M53" s="17"/>
      <c r="N53" s="17"/>
    </row>
    <row r="54" spans="12:15" x14ac:dyDescent="0.25">
      <c r="L54" s="35" t="s">
        <v>37</v>
      </c>
      <c r="M54" s="35" t="s">
        <v>38</v>
      </c>
      <c r="N54" s="36"/>
      <c r="O54" s="35">
        <f>COUNTIF('GUARDA MAT. ERRADO'!E3:E202,L54)</f>
        <v>0</v>
      </c>
    </row>
    <row r="55" spans="12:15" x14ac:dyDescent="0.25">
      <c r="L55" s="35" t="s">
        <v>39</v>
      </c>
      <c r="M55" s="35" t="s">
        <v>38</v>
      </c>
      <c r="N55" s="36"/>
      <c r="O55" s="35">
        <f>COUNTIF('GUARDA MAT. ERRADO'!E3:E202,L55)</f>
        <v>6</v>
      </c>
    </row>
    <row r="56" spans="12:15" x14ac:dyDescent="0.25">
      <c r="L56" s="35" t="s">
        <v>40</v>
      </c>
      <c r="M56" s="35" t="s">
        <v>38</v>
      </c>
      <c r="N56" s="36"/>
      <c r="O56" s="35">
        <f>COUNTIF('GUARDA MAT. ERRADO'!E3:E202,L56)</f>
        <v>6</v>
      </c>
    </row>
  </sheetData>
  <mergeCells count="17">
    <mergeCell ref="L43:O43"/>
    <mergeCell ref="L30:O30"/>
    <mergeCell ref="L28:R28"/>
    <mergeCell ref="M29:R29"/>
    <mergeCell ref="A6:D6"/>
    <mergeCell ref="A8:R8"/>
    <mergeCell ref="A2:R2"/>
    <mergeCell ref="E6:H6"/>
    <mergeCell ref="I6:L6"/>
    <mergeCell ref="M6:P6"/>
    <mergeCell ref="A1:R1"/>
    <mergeCell ref="E5:H5"/>
    <mergeCell ref="I5:L5"/>
    <mergeCell ref="A4:R4"/>
    <mergeCell ref="M5:P5"/>
    <mergeCell ref="A5:D5"/>
    <mergeCell ref="A3:R3"/>
  </mergeCells>
  <conditionalFormatting sqref="O31:R39 P30:R30">
    <cfRule type="top10" dxfId="0" priority="2" rank="1"/>
  </conditionalFormatting>
  <pageMargins left="0.75" right="0.75" top="1" bottom="1" header="0.511811023622047" footer="0.511811023622047"/>
  <pageSetup orientation="landscape" horizontalDpi="300" verticalDpi="300"/>
  <headerFooter>
    <oddHeader>&amp;L&amp;"Aptos"&amp;8&amp;K0000FF [PRIVATE]&amp;1#_x000D_</oddHeader>
    <oddFooter>&amp;L_x000D_&amp;1#&amp;"Aptos"&amp;8&amp;K0000FF [PRIVATE]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F102"/>
  <sheetViews>
    <sheetView showGridLines="0" tabSelected="1" zoomScaleNormal="100" workbookViewId="0">
      <pane ySplit="2" topLeftCell="A51" activePane="bottomLeft" state="frozen"/>
      <selection pane="bottomLeft" activeCell="E19" sqref="E19"/>
    </sheetView>
  </sheetViews>
  <sheetFormatPr defaultColWidth="8.7109375" defaultRowHeight="15" x14ac:dyDescent="0.25"/>
  <cols>
    <col min="1" max="1" width="11" customWidth="1"/>
    <col min="2" max="2" width="22.5703125" customWidth="1"/>
    <col min="3" max="4" width="20.42578125" customWidth="1"/>
    <col min="5" max="5" width="31.140625" customWidth="1"/>
    <col min="6" max="6" width="57.5703125" customWidth="1"/>
  </cols>
  <sheetData>
    <row r="1" spans="1:6" ht="31.5" customHeight="1" x14ac:dyDescent="0.25">
      <c r="A1" s="43" t="s">
        <v>41</v>
      </c>
      <c r="B1" s="44"/>
      <c r="C1" s="44"/>
      <c r="D1" s="44"/>
      <c r="E1" s="44"/>
      <c r="F1" s="44"/>
    </row>
    <row r="2" spans="1:6" ht="21.75" customHeight="1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</row>
    <row r="3" spans="1:6" ht="15" customHeight="1" x14ac:dyDescent="0.25">
      <c r="A3" s="3">
        <v>46142</v>
      </c>
      <c r="B3" s="15" t="s">
        <v>48</v>
      </c>
      <c r="C3" s="4" t="s">
        <v>49</v>
      </c>
      <c r="D3" s="4" t="s">
        <v>50</v>
      </c>
      <c r="E3" s="5" t="s">
        <v>32</v>
      </c>
      <c r="F3" s="4" t="s">
        <v>51</v>
      </c>
    </row>
    <row r="4" spans="1:6" ht="15" customHeight="1" x14ac:dyDescent="0.25">
      <c r="A4" s="6">
        <v>46147</v>
      </c>
      <c r="B4" s="7" t="s">
        <v>52</v>
      </c>
      <c r="C4" s="7" t="s">
        <v>53</v>
      </c>
      <c r="D4" s="7" t="s">
        <v>54</v>
      </c>
      <c r="E4" s="8" t="s">
        <v>55</v>
      </c>
      <c r="F4" s="7" t="s">
        <v>56</v>
      </c>
    </row>
    <row r="5" spans="1:6" ht="15" customHeight="1" x14ac:dyDescent="0.25">
      <c r="A5" s="3">
        <v>46142</v>
      </c>
      <c r="B5" s="4" t="s">
        <v>57</v>
      </c>
      <c r="C5" s="4" t="s">
        <v>58</v>
      </c>
      <c r="D5" s="4" t="s">
        <v>59</v>
      </c>
      <c r="E5" s="5" t="s">
        <v>34</v>
      </c>
      <c r="F5" s="4" t="s">
        <v>60</v>
      </c>
    </row>
    <row r="6" spans="1:6" ht="15" customHeight="1" x14ac:dyDescent="0.25">
      <c r="A6" s="6">
        <v>46146</v>
      </c>
      <c r="B6" s="7" t="s">
        <v>61</v>
      </c>
      <c r="C6" s="7" t="s">
        <v>62</v>
      </c>
      <c r="D6" s="7" t="s">
        <v>63</v>
      </c>
      <c r="E6" s="8" t="s">
        <v>33</v>
      </c>
      <c r="F6" s="7" t="s">
        <v>64</v>
      </c>
    </row>
    <row r="7" spans="1:6" ht="15" customHeight="1" x14ac:dyDescent="0.25">
      <c r="A7" s="3">
        <v>46139</v>
      </c>
      <c r="B7" s="4" t="s">
        <v>65</v>
      </c>
      <c r="C7" s="4" t="s">
        <v>66</v>
      </c>
      <c r="D7" s="4" t="s">
        <v>59</v>
      </c>
      <c r="E7" s="5" t="s">
        <v>34</v>
      </c>
      <c r="F7" s="4" t="s">
        <v>67</v>
      </c>
    </row>
    <row r="8" spans="1:6" ht="15" customHeight="1" x14ac:dyDescent="0.25">
      <c r="A8" s="6">
        <v>46135</v>
      </c>
      <c r="B8" s="7" t="s">
        <v>68</v>
      </c>
      <c r="C8" s="7" t="s">
        <v>69</v>
      </c>
      <c r="D8" s="7" t="s">
        <v>54</v>
      </c>
      <c r="E8" s="8" t="s">
        <v>55</v>
      </c>
      <c r="F8" s="7" t="s">
        <v>70</v>
      </c>
    </row>
    <row r="9" spans="1:6" ht="15" customHeight="1" x14ac:dyDescent="0.25">
      <c r="A9" s="3">
        <v>46128</v>
      </c>
      <c r="B9" s="4" t="s">
        <v>71</v>
      </c>
      <c r="C9" s="4" t="s">
        <v>72</v>
      </c>
      <c r="D9" s="4" t="s">
        <v>63</v>
      </c>
      <c r="E9" s="5" t="s">
        <v>33</v>
      </c>
      <c r="F9" s="4" t="s">
        <v>72</v>
      </c>
    </row>
    <row r="10" spans="1:6" ht="15" customHeight="1" x14ac:dyDescent="0.25">
      <c r="A10" s="6">
        <v>46114</v>
      </c>
      <c r="B10" s="7" t="s">
        <v>73</v>
      </c>
      <c r="C10" s="7" t="s">
        <v>74</v>
      </c>
      <c r="D10" s="7" t="s">
        <v>59</v>
      </c>
      <c r="E10" s="8" t="s">
        <v>34</v>
      </c>
      <c r="F10" s="7" t="s">
        <v>75</v>
      </c>
    </row>
    <row r="11" spans="1:6" ht="15" customHeight="1" x14ac:dyDescent="0.25">
      <c r="A11" s="3">
        <v>46146</v>
      </c>
      <c r="B11" s="4" t="s">
        <v>115</v>
      </c>
      <c r="C11" s="4" t="s">
        <v>116</v>
      </c>
      <c r="D11" s="4" t="s">
        <v>117</v>
      </c>
      <c r="E11" s="5" t="s">
        <v>19</v>
      </c>
      <c r="F11" s="4" t="s">
        <v>118</v>
      </c>
    </row>
    <row r="12" spans="1:6" ht="15" customHeight="1" x14ac:dyDescent="0.25">
      <c r="A12" s="6">
        <v>46136</v>
      </c>
      <c r="B12" s="7" t="s">
        <v>126</v>
      </c>
      <c r="C12" s="7" t="s">
        <v>127</v>
      </c>
      <c r="D12" s="7" t="s">
        <v>128</v>
      </c>
      <c r="E12" s="8" t="s">
        <v>39</v>
      </c>
      <c r="F12" s="7" t="s">
        <v>129</v>
      </c>
    </row>
    <row r="13" spans="1:6" ht="15" customHeight="1" x14ac:dyDescent="0.25">
      <c r="A13" s="3">
        <v>46136</v>
      </c>
      <c r="B13" s="4" t="s">
        <v>130</v>
      </c>
      <c r="C13" s="4" t="s">
        <v>131</v>
      </c>
      <c r="D13" s="4" t="s">
        <v>132</v>
      </c>
      <c r="E13" s="5" t="s">
        <v>40</v>
      </c>
      <c r="F13" s="4" t="s">
        <v>133</v>
      </c>
    </row>
    <row r="14" spans="1:6" ht="15" customHeight="1" x14ac:dyDescent="0.25">
      <c r="A14" s="6">
        <v>46112</v>
      </c>
      <c r="B14" s="7" t="s">
        <v>134</v>
      </c>
      <c r="C14" s="7" t="s">
        <v>135</v>
      </c>
      <c r="D14" s="7" t="s">
        <v>63</v>
      </c>
      <c r="E14" s="8" t="s">
        <v>33</v>
      </c>
      <c r="F14" s="7" t="s">
        <v>136</v>
      </c>
    </row>
    <row r="15" spans="1:6" ht="15" customHeight="1" x14ac:dyDescent="0.25">
      <c r="A15" s="3">
        <v>46104</v>
      </c>
      <c r="B15" s="4" t="s">
        <v>137</v>
      </c>
      <c r="C15" s="4" t="s">
        <v>138</v>
      </c>
      <c r="D15" s="4" t="s">
        <v>59</v>
      </c>
      <c r="E15" s="5" t="s">
        <v>33</v>
      </c>
      <c r="F15" s="4" t="s">
        <v>139</v>
      </c>
    </row>
    <row r="16" spans="1:6" ht="15" customHeight="1" x14ac:dyDescent="0.25">
      <c r="A16" s="6">
        <v>46104</v>
      </c>
      <c r="B16" s="7" t="s">
        <v>140</v>
      </c>
      <c r="C16" s="7" t="s">
        <v>141</v>
      </c>
      <c r="D16" s="7" t="s">
        <v>142</v>
      </c>
      <c r="E16" s="8" t="s">
        <v>26</v>
      </c>
      <c r="F16" s="7" t="s">
        <v>143</v>
      </c>
    </row>
    <row r="17" spans="1:6" ht="15" customHeight="1" x14ac:dyDescent="0.25">
      <c r="A17" s="3">
        <v>46107</v>
      </c>
      <c r="B17" s="4" t="s">
        <v>144</v>
      </c>
      <c r="C17" s="4" t="s">
        <v>145</v>
      </c>
      <c r="D17" s="4" t="s">
        <v>54</v>
      </c>
      <c r="E17" s="5" t="s">
        <v>55</v>
      </c>
      <c r="F17" s="4" t="s">
        <v>146</v>
      </c>
    </row>
    <row r="18" spans="1:6" ht="15" customHeight="1" x14ac:dyDescent="0.25">
      <c r="A18" s="6">
        <v>46072</v>
      </c>
      <c r="B18" s="7" t="s">
        <v>147</v>
      </c>
      <c r="C18" s="7" t="s">
        <v>148</v>
      </c>
      <c r="D18" s="4" t="s">
        <v>54</v>
      </c>
      <c r="E18" s="8" t="s">
        <v>55</v>
      </c>
      <c r="F18" s="7" t="s">
        <v>149</v>
      </c>
    </row>
    <row r="19" spans="1:6" ht="15" customHeight="1" x14ac:dyDescent="0.25">
      <c r="A19" s="3">
        <v>46141</v>
      </c>
      <c r="B19" s="4" t="s">
        <v>150</v>
      </c>
      <c r="C19" s="4" t="s">
        <v>151</v>
      </c>
      <c r="D19" s="4" t="s">
        <v>152</v>
      </c>
      <c r="E19" s="5" t="s">
        <v>17</v>
      </c>
      <c r="F19" s="4" t="s">
        <v>153</v>
      </c>
    </row>
    <row r="20" spans="1:6" ht="15" customHeight="1" x14ac:dyDescent="0.25">
      <c r="A20" s="6">
        <v>46079</v>
      </c>
      <c r="B20" s="7" t="s">
        <v>154</v>
      </c>
      <c r="C20" s="7" t="s">
        <v>155</v>
      </c>
      <c r="D20" s="7" t="s">
        <v>54</v>
      </c>
      <c r="E20" s="8" t="s">
        <v>55</v>
      </c>
      <c r="F20" s="7" t="s">
        <v>156</v>
      </c>
    </row>
    <row r="21" spans="1:6" ht="15" customHeight="1" x14ac:dyDescent="0.25">
      <c r="A21" s="3">
        <v>46080</v>
      </c>
      <c r="B21" s="4" t="s">
        <v>157</v>
      </c>
      <c r="C21" s="4" t="s">
        <v>158</v>
      </c>
      <c r="D21" s="4" t="s">
        <v>159</v>
      </c>
      <c r="E21" s="5" t="s">
        <v>30</v>
      </c>
      <c r="F21" s="4" t="s">
        <v>160</v>
      </c>
    </row>
    <row r="22" spans="1:6" ht="15" customHeight="1" x14ac:dyDescent="0.25">
      <c r="A22" s="6">
        <v>46077</v>
      </c>
      <c r="B22" s="7" t="s">
        <v>161</v>
      </c>
      <c r="C22" s="7" t="s">
        <v>162</v>
      </c>
      <c r="D22" s="7" t="s">
        <v>54</v>
      </c>
      <c r="E22" s="8" t="s">
        <v>55</v>
      </c>
      <c r="F22" s="7" t="s">
        <v>163</v>
      </c>
    </row>
    <row r="23" spans="1:6" ht="15" customHeight="1" x14ac:dyDescent="0.25">
      <c r="A23" s="3">
        <v>46077</v>
      </c>
      <c r="B23" s="4" t="s">
        <v>164</v>
      </c>
      <c r="C23" s="4" t="s">
        <v>163</v>
      </c>
      <c r="D23" s="4" t="s">
        <v>128</v>
      </c>
      <c r="E23" s="5" t="s">
        <v>39</v>
      </c>
      <c r="F23" s="4" t="s">
        <v>165</v>
      </c>
    </row>
    <row r="24" spans="1:6" ht="15" customHeight="1" x14ac:dyDescent="0.25">
      <c r="A24" s="6">
        <v>46078</v>
      </c>
      <c r="B24" s="7" t="s">
        <v>166</v>
      </c>
      <c r="C24" s="7" t="s">
        <v>167</v>
      </c>
      <c r="D24" s="7" t="s">
        <v>132</v>
      </c>
      <c r="E24" s="8" t="s">
        <v>40</v>
      </c>
      <c r="F24" s="7" t="s">
        <v>168</v>
      </c>
    </row>
    <row r="25" spans="1:6" ht="15" customHeight="1" x14ac:dyDescent="0.25">
      <c r="A25" s="3">
        <v>46077</v>
      </c>
      <c r="B25" s="4" t="s">
        <v>169</v>
      </c>
      <c r="C25" s="4" t="s">
        <v>170</v>
      </c>
      <c r="D25" s="4" t="s">
        <v>171</v>
      </c>
      <c r="E25" s="5" t="s">
        <v>21</v>
      </c>
      <c r="F25" s="4" t="s">
        <v>172</v>
      </c>
    </row>
    <row r="26" spans="1:6" ht="15" customHeight="1" x14ac:dyDescent="0.25">
      <c r="A26" s="6">
        <v>46056</v>
      </c>
      <c r="B26" s="7" t="s">
        <v>173</v>
      </c>
      <c r="C26" s="7" t="s">
        <v>174</v>
      </c>
      <c r="D26" s="7" t="s">
        <v>128</v>
      </c>
      <c r="E26" s="8" t="s">
        <v>39</v>
      </c>
      <c r="F26" s="7" t="s">
        <v>174</v>
      </c>
    </row>
    <row r="27" spans="1:6" ht="15" customHeight="1" x14ac:dyDescent="0.25">
      <c r="A27" s="3">
        <v>46049</v>
      </c>
      <c r="B27" s="4" t="s">
        <v>175</v>
      </c>
      <c r="C27" s="4" t="s">
        <v>176</v>
      </c>
      <c r="D27" s="4" t="s">
        <v>128</v>
      </c>
      <c r="E27" s="5" t="s">
        <v>39</v>
      </c>
      <c r="F27" s="4" t="s">
        <v>177</v>
      </c>
    </row>
    <row r="28" spans="1:6" ht="15" customHeight="1" x14ac:dyDescent="0.25">
      <c r="A28" s="6">
        <v>46056</v>
      </c>
      <c r="B28" s="7" t="s">
        <v>180</v>
      </c>
      <c r="C28" s="7" t="s">
        <v>181</v>
      </c>
      <c r="D28" s="7" t="s">
        <v>182</v>
      </c>
      <c r="E28" s="8" t="s">
        <v>20</v>
      </c>
      <c r="F28" s="7" t="s">
        <v>183</v>
      </c>
    </row>
    <row r="29" spans="1:6" ht="15" customHeight="1" x14ac:dyDescent="0.25">
      <c r="A29" s="3">
        <v>46056</v>
      </c>
      <c r="B29" s="4" t="s">
        <v>184</v>
      </c>
      <c r="C29" s="4" t="s">
        <v>185</v>
      </c>
      <c r="D29" s="4" t="s">
        <v>132</v>
      </c>
      <c r="E29" s="5" t="s">
        <v>40</v>
      </c>
      <c r="F29" s="4" t="s">
        <v>186</v>
      </c>
    </row>
    <row r="30" spans="1:6" ht="15" customHeight="1" x14ac:dyDescent="0.25">
      <c r="A30" s="6">
        <v>46044</v>
      </c>
      <c r="B30" s="7" t="s">
        <v>187</v>
      </c>
      <c r="C30" s="7" t="s">
        <v>188</v>
      </c>
      <c r="D30" s="7" t="s">
        <v>189</v>
      </c>
      <c r="E30" s="8" t="s">
        <v>23</v>
      </c>
      <c r="F30" s="7" t="s">
        <v>190</v>
      </c>
    </row>
    <row r="31" spans="1:6" ht="15" customHeight="1" x14ac:dyDescent="0.25">
      <c r="A31" s="3">
        <v>46041</v>
      </c>
      <c r="B31" s="4" t="s">
        <v>191</v>
      </c>
      <c r="C31" s="4" t="s">
        <v>192</v>
      </c>
      <c r="D31" s="4" t="s">
        <v>193</v>
      </c>
      <c r="E31" s="5" t="s">
        <v>23</v>
      </c>
      <c r="F31" s="4" t="s">
        <v>194</v>
      </c>
    </row>
    <row r="32" spans="1:6" ht="15" customHeight="1" x14ac:dyDescent="0.25">
      <c r="A32" s="6">
        <v>46150</v>
      </c>
      <c r="B32" s="7" t="s">
        <v>195</v>
      </c>
      <c r="C32" s="7" t="s">
        <v>196</v>
      </c>
      <c r="D32" s="7" t="s">
        <v>54</v>
      </c>
      <c r="E32" s="8" t="s">
        <v>55</v>
      </c>
      <c r="F32" s="7" t="s">
        <v>197</v>
      </c>
    </row>
    <row r="33" spans="1:6" ht="15" customHeight="1" x14ac:dyDescent="0.25">
      <c r="A33" s="3">
        <v>46149</v>
      </c>
      <c r="B33" s="4" t="s">
        <v>202</v>
      </c>
      <c r="C33" s="4" t="s">
        <v>203</v>
      </c>
      <c r="D33" s="4" t="s">
        <v>204</v>
      </c>
      <c r="E33" s="5" t="s">
        <v>35</v>
      </c>
      <c r="F33" s="4" t="s">
        <v>205</v>
      </c>
    </row>
    <row r="34" spans="1:6" ht="15" customHeight="1" x14ac:dyDescent="0.25">
      <c r="A34" s="6">
        <v>46150</v>
      </c>
      <c r="B34" s="7" t="s">
        <v>211</v>
      </c>
      <c r="C34" s="7" t="s">
        <v>212</v>
      </c>
      <c r="D34" s="7" t="s">
        <v>213</v>
      </c>
      <c r="E34" s="8" t="s">
        <v>35</v>
      </c>
      <c r="F34" s="7" t="s">
        <v>214</v>
      </c>
    </row>
    <row r="35" spans="1:6" ht="15" customHeight="1" x14ac:dyDescent="0.25">
      <c r="A35" s="3">
        <v>46148</v>
      </c>
      <c r="B35" s="4" t="s">
        <v>217</v>
      </c>
      <c r="C35" s="4" t="s">
        <v>218</v>
      </c>
      <c r="D35" s="4" t="s">
        <v>219</v>
      </c>
      <c r="E35" s="5" t="s">
        <v>24</v>
      </c>
      <c r="F35" s="4" t="s">
        <v>220</v>
      </c>
    </row>
    <row r="36" spans="1:6" ht="15" customHeight="1" x14ac:dyDescent="0.25">
      <c r="A36" s="6">
        <v>46148</v>
      </c>
      <c r="B36" s="7" t="s">
        <v>221</v>
      </c>
      <c r="C36" s="7" t="s">
        <v>222</v>
      </c>
      <c r="D36" s="7" t="s">
        <v>171</v>
      </c>
      <c r="E36" s="8" t="s">
        <v>21</v>
      </c>
      <c r="F36" s="7" t="s">
        <v>223</v>
      </c>
    </row>
    <row r="37" spans="1:6" ht="15" customHeight="1" x14ac:dyDescent="0.25">
      <c r="A37" s="3">
        <v>46136</v>
      </c>
      <c r="B37" s="4" t="s">
        <v>224</v>
      </c>
      <c r="C37" s="4" t="s">
        <v>225</v>
      </c>
      <c r="D37" s="4" t="s">
        <v>128</v>
      </c>
      <c r="E37" s="5" t="s">
        <v>39</v>
      </c>
      <c r="F37" s="4" t="s">
        <v>226</v>
      </c>
    </row>
    <row r="38" spans="1:6" ht="15" customHeight="1" x14ac:dyDescent="0.25">
      <c r="A38" s="6">
        <v>46157</v>
      </c>
      <c r="B38" s="7" t="s">
        <v>227</v>
      </c>
      <c r="C38" s="7" t="s">
        <v>228</v>
      </c>
      <c r="D38" s="7" t="s">
        <v>117</v>
      </c>
      <c r="E38" s="8" t="s">
        <v>19</v>
      </c>
      <c r="F38" s="7" t="s">
        <v>229</v>
      </c>
    </row>
    <row r="39" spans="1:6" ht="15" customHeight="1" x14ac:dyDescent="0.25">
      <c r="A39" s="3">
        <v>46148</v>
      </c>
      <c r="B39" s="4" t="s">
        <v>230</v>
      </c>
      <c r="C39" s="4" t="s">
        <v>231</v>
      </c>
      <c r="D39" s="4" t="s">
        <v>219</v>
      </c>
      <c r="E39" s="5" t="s">
        <v>24</v>
      </c>
      <c r="F39" s="4" t="s">
        <v>232</v>
      </c>
    </row>
    <row r="40" spans="1:6" ht="15" customHeight="1" x14ac:dyDescent="0.25">
      <c r="A40" s="6">
        <v>46148</v>
      </c>
      <c r="B40" s="7" t="s">
        <v>235</v>
      </c>
      <c r="C40" s="7" t="s">
        <v>236</v>
      </c>
      <c r="D40" s="7" t="s">
        <v>237</v>
      </c>
      <c r="E40" s="8" t="s">
        <v>24</v>
      </c>
      <c r="F40" s="7" t="s">
        <v>238</v>
      </c>
    </row>
    <row r="41" spans="1:6" ht="15" customHeight="1" x14ac:dyDescent="0.25">
      <c r="A41" s="3">
        <v>46156</v>
      </c>
      <c r="B41" s="4" t="s">
        <v>239</v>
      </c>
      <c r="C41" s="4" t="s">
        <v>240</v>
      </c>
      <c r="D41" s="4" t="s">
        <v>241</v>
      </c>
      <c r="E41" s="5" t="s">
        <v>40</v>
      </c>
      <c r="F41" s="4" t="s">
        <v>242</v>
      </c>
    </row>
    <row r="42" spans="1:6" ht="15" customHeight="1" x14ac:dyDescent="0.25">
      <c r="A42" s="6">
        <v>46163</v>
      </c>
      <c r="B42" s="7" t="s">
        <v>243</v>
      </c>
      <c r="C42" s="7" t="s">
        <v>244</v>
      </c>
      <c r="D42" s="7" t="s">
        <v>117</v>
      </c>
      <c r="E42" s="8" t="s">
        <v>19</v>
      </c>
      <c r="F42" s="7" t="s">
        <v>245</v>
      </c>
    </row>
    <row r="43" spans="1:6" ht="15" customHeight="1" x14ac:dyDescent="0.25">
      <c r="A43" s="3">
        <v>46160</v>
      </c>
      <c r="B43" s="4" t="s">
        <v>246</v>
      </c>
      <c r="C43" s="4" t="s">
        <v>247</v>
      </c>
      <c r="D43" s="4" t="s">
        <v>54</v>
      </c>
      <c r="E43" s="5" t="s">
        <v>55</v>
      </c>
      <c r="F43" s="4" t="s">
        <v>248</v>
      </c>
    </row>
    <row r="44" spans="1:6" ht="15" customHeight="1" x14ac:dyDescent="0.25">
      <c r="A44" s="6">
        <v>46142</v>
      </c>
      <c r="B44" s="7" t="s">
        <v>249</v>
      </c>
      <c r="C44" s="7" t="s">
        <v>250</v>
      </c>
      <c r="D44" s="7" t="s">
        <v>189</v>
      </c>
      <c r="E44" s="8" t="s">
        <v>23</v>
      </c>
      <c r="F44" s="7" t="s">
        <v>251</v>
      </c>
    </row>
    <row r="45" spans="1:6" ht="15" customHeight="1" x14ac:dyDescent="0.25">
      <c r="A45" s="3">
        <v>46168</v>
      </c>
      <c r="B45" s="4" t="s">
        <v>252</v>
      </c>
      <c r="C45" s="4" t="s">
        <v>253</v>
      </c>
      <c r="D45" s="4" t="s">
        <v>142</v>
      </c>
      <c r="E45" s="5" t="s">
        <v>26</v>
      </c>
      <c r="F45" s="4" t="s">
        <v>254</v>
      </c>
    </row>
    <row r="46" spans="1:6" ht="15" customHeight="1" x14ac:dyDescent="0.25">
      <c r="A46" s="6">
        <v>46161</v>
      </c>
      <c r="B46" s="7" t="s">
        <v>255</v>
      </c>
      <c r="C46" s="7" t="s">
        <v>256</v>
      </c>
      <c r="D46" s="7" t="s">
        <v>54</v>
      </c>
      <c r="E46" s="8" t="s">
        <v>55</v>
      </c>
      <c r="F46" s="7" t="s">
        <v>257</v>
      </c>
    </row>
    <row r="47" spans="1:6" ht="15" customHeight="1" x14ac:dyDescent="0.25">
      <c r="A47" s="3">
        <v>46168</v>
      </c>
      <c r="B47" s="4" t="s">
        <v>258</v>
      </c>
      <c r="C47" s="4" t="s">
        <v>259</v>
      </c>
      <c r="D47" s="4" t="s">
        <v>182</v>
      </c>
      <c r="E47" s="5" t="s">
        <v>20</v>
      </c>
      <c r="F47" s="4" t="s">
        <v>260</v>
      </c>
    </row>
    <row r="48" spans="1:6" ht="15" customHeight="1" x14ac:dyDescent="0.25">
      <c r="A48" s="6">
        <v>46168</v>
      </c>
      <c r="B48" s="7" t="s">
        <v>261</v>
      </c>
      <c r="C48" s="7" t="s">
        <v>262</v>
      </c>
      <c r="D48" s="7" t="s">
        <v>142</v>
      </c>
      <c r="E48" s="8" t="s">
        <v>26</v>
      </c>
      <c r="F48" s="7" t="s">
        <v>269</v>
      </c>
    </row>
    <row r="49" spans="1:6" ht="15" customHeight="1" x14ac:dyDescent="0.25">
      <c r="A49" s="3">
        <v>46169</v>
      </c>
      <c r="B49" s="4" t="s">
        <v>264</v>
      </c>
      <c r="C49" s="4" t="s">
        <v>265</v>
      </c>
      <c r="D49" s="4" t="s">
        <v>117</v>
      </c>
      <c r="E49" s="5" t="s">
        <v>19</v>
      </c>
      <c r="F49" s="4" t="s">
        <v>265</v>
      </c>
    </row>
    <row r="50" spans="1:6" ht="15" customHeight="1" x14ac:dyDescent="0.25">
      <c r="A50" s="6">
        <v>46149</v>
      </c>
      <c r="B50" s="7" t="s">
        <v>266</v>
      </c>
      <c r="C50" s="7" t="s">
        <v>267</v>
      </c>
      <c r="D50" s="7" t="s">
        <v>128</v>
      </c>
      <c r="E50" s="8" t="s">
        <v>39</v>
      </c>
      <c r="F50" s="7" t="s">
        <v>268</v>
      </c>
    </row>
    <row r="51" spans="1:6" ht="15" customHeight="1" x14ac:dyDescent="0.25">
      <c r="A51" s="3">
        <v>46175</v>
      </c>
      <c r="B51" s="4" t="s">
        <v>270</v>
      </c>
      <c r="C51" s="4" t="s">
        <v>271</v>
      </c>
      <c r="D51" s="4" t="s">
        <v>54</v>
      </c>
      <c r="E51" s="5" t="s">
        <v>55</v>
      </c>
      <c r="F51" s="4" t="s">
        <v>272</v>
      </c>
    </row>
    <row r="52" spans="1:6" ht="15" customHeight="1" x14ac:dyDescent="0.25">
      <c r="A52" s="6">
        <v>46169</v>
      </c>
      <c r="B52" s="7" t="s">
        <v>273</v>
      </c>
      <c r="C52" s="7" t="s">
        <v>274</v>
      </c>
      <c r="D52" s="7" t="s">
        <v>59</v>
      </c>
      <c r="E52" s="8" t="s">
        <v>34</v>
      </c>
      <c r="F52" s="7" t="s">
        <v>275</v>
      </c>
    </row>
    <row r="53" spans="1:6" ht="15" customHeight="1" x14ac:dyDescent="0.25">
      <c r="A53" s="3">
        <v>46178</v>
      </c>
      <c r="B53" s="4" t="s">
        <v>276</v>
      </c>
      <c r="C53" s="4" t="s">
        <v>277</v>
      </c>
      <c r="D53" s="4" t="s">
        <v>278</v>
      </c>
      <c r="E53" s="5" t="s">
        <v>12</v>
      </c>
      <c r="F53" s="4" t="s">
        <v>279</v>
      </c>
    </row>
    <row r="54" spans="1:6" ht="15" customHeight="1" x14ac:dyDescent="0.25">
      <c r="A54" s="6">
        <v>46161</v>
      </c>
      <c r="B54" s="7" t="s">
        <v>280</v>
      </c>
      <c r="C54" s="7" t="s">
        <v>281</v>
      </c>
      <c r="D54" s="7" t="s">
        <v>282</v>
      </c>
      <c r="E54" s="8" t="s">
        <v>20</v>
      </c>
      <c r="F54" s="7" t="s">
        <v>283</v>
      </c>
    </row>
    <row r="55" spans="1:6" ht="15" customHeight="1" x14ac:dyDescent="0.25">
      <c r="A55" s="3">
        <v>46183</v>
      </c>
      <c r="B55" s="4" t="s">
        <v>284</v>
      </c>
      <c r="C55" s="4" t="s">
        <v>285</v>
      </c>
      <c r="D55" s="4" t="s">
        <v>152</v>
      </c>
      <c r="E55" s="5" t="s">
        <v>17</v>
      </c>
      <c r="F55" s="4" t="s">
        <v>286</v>
      </c>
    </row>
    <row r="56" spans="1:6" ht="15" customHeight="1" x14ac:dyDescent="0.25">
      <c r="A56" s="6">
        <v>46183</v>
      </c>
      <c r="B56" s="7" t="s">
        <v>287</v>
      </c>
      <c r="C56" s="7" t="s">
        <v>288</v>
      </c>
      <c r="D56" s="7" t="s">
        <v>152</v>
      </c>
      <c r="E56" s="8" t="s">
        <v>17</v>
      </c>
      <c r="F56" s="7" t="s">
        <v>289</v>
      </c>
    </row>
    <row r="57" spans="1:6" ht="15" customHeight="1" x14ac:dyDescent="0.25">
      <c r="A57" s="3">
        <v>46184</v>
      </c>
      <c r="B57" s="4" t="s">
        <v>290</v>
      </c>
      <c r="C57" s="4" t="s">
        <v>291</v>
      </c>
      <c r="D57" s="4" t="s">
        <v>132</v>
      </c>
      <c r="E57" s="5" t="s">
        <v>40</v>
      </c>
      <c r="F57" s="4" t="s">
        <v>292</v>
      </c>
    </row>
    <row r="58" spans="1:6" ht="15" customHeight="1" x14ac:dyDescent="0.25">
      <c r="A58" s="6">
        <v>46189</v>
      </c>
      <c r="B58" s="7" t="s">
        <v>293</v>
      </c>
      <c r="C58" s="7" t="s">
        <v>294</v>
      </c>
      <c r="D58" s="7" t="s">
        <v>54</v>
      </c>
      <c r="E58" s="8" t="s">
        <v>55</v>
      </c>
      <c r="F58" s="7" t="s">
        <v>295</v>
      </c>
    </row>
    <row r="59" spans="1:6" ht="15" customHeight="1" x14ac:dyDescent="0.25">
      <c r="A59" s="3">
        <v>46185</v>
      </c>
      <c r="B59" s="4" t="s">
        <v>296</v>
      </c>
      <c r="C59" s="4" t="s">
        <v>297</v>
      </c>
      <c r="D59" s="4" t="s">
        <v>117</v>
      </c>
      <c r="E59" s="5" t="s">
        <v>19</v>
      </c>
      <c r="F59" s="4" t="s">
        <v>298</v>
      </c>
    </row>
    <row r="60" spans="1:6" ht="15" customHeight="1" x14ac:dyDescent="0.25">
      <c r="A60" s="6">
        <v>46170</v>
      </c>
      <c r="B60" s="7" t="s">
        <v>299</v>
      </c>
      <c r="C60" s="7" t="s">
        <v>300</v>
      </c>
      <c r="D60" s="4" t="s">
        <v>301</v>
      </c>
      <c r="E60" s="8" t="s">
        <v>19</v>
      </c>
      <c r="F60" s="7" t="s">
        <v>302</v>
      </c>
    </row>
    <row r="61" spans="1:6" ht="15" customHeight="1" x14ac:dyDescent="0.25">
      <c r="A61" s="3">
        <v>46171</v>
      </c>
      <c r="B61" s="4" t="s">
        <v>303</v>
      </c>
      <c r="C61" s="4" t="s">
        <v>304</v>
      </c>
      <c r="D61" s="4" t="s">
        <v>159</v>
      </c>
      <c r="E61" s="5" t="s">
        <v>30</v>
      </c>
      <c r="F61" s="4" t="s">
        <v>305</v>
      </c>
    </row>
    <row r="62" spans="1:6" ht="15" customHeight="1" x14ac:dyDescent="0.25">
      <c r="A62" s="6">
        <v>46191</v>
      </c>
      <c r="B62" s="7" t="s">
        <v>306</v>
      </c>
      <c r="C62" s="7" t="s">
        <v>307</v>
      </c>
      <c r="D62" s="7" t="s">
        <v>132</v>
      </c>
      <c r="E62" s="8" t="s">
        <v>40</v>
      </c>
      <c r="F62" s="7" t="s">
        <v>308</v>
      </c>
    </row>
    <row r="63" spans="1:6" ht="15" customHeight="1" x14ac:dyDescent="0.25">
      <c r="A63" s="3">
        <v>46168</v>
      </c>
      <c r="B63" s="4" t="s">
        <v>309</v>
      </c>
      <c r="C63" s="4" t="s">
        <v>310</v>
      </c>
      <c r="D63" s="4" t="s">
        <v>142</v>
      </c>
      <c r="E63" s="5" t="s">
        <v>26</v>
      </c>
      <c r="F63" s="4" t="s">
        <v>311</v>
      </c>
    </row>
    <row r="64" spans="1:6" ht="15" customHeight="1" x14ac:dyDescent="0.25">
      <c r="A64" s="6">
        <v>46181</v>
      </c>
      <c r="B64" s="7" t="s">
        <v>312</v>
      </c>
      <c r="C64" s="7" t="s">
        <v>313</v>
      </c>
      <c r="D64" s="7" t="s">
        <v>117</v>
      </c>
      <c r="E64" s="8" t="s">
        <v>19</v>
      </c>
      <c r="F64" s="7" t="s">
        <v>314</v>
      </c>
    </row>
    <row r="65" spans="1:6" ht="15" customHeight="1" x14ac:dyDescent="0.25">
      <c r="A65" s="3">
        <v>46202</v>
      </c>
      <c r="B65" s="4" t="s">
        <v>315</v>
      </c>
      <c r="C65" s="4" t="s">
        <v>316</v>
      </c>
      <c r="D65" s="4" t="s">
        <v>182</v>
      </c>
      <c r="E65" s="5" t="s">
        <v>20</v>
      </c>
      <c r="F65" s="4" t="s">
        <v>317</v>
      </c>
    </row>
    <row r="66" spans="1:6" ht="15" customHeight="1" x14ac:dyDescent="0.25">
      <c r="A66" s="6">
        <v>46199</v>
      </c>
      <c r="B66" s="7" t="s">
        <v>318</v>
      </c>
      <c r="C66" s="7" t="s">
        <v>319</v>
      </c>
      <c r="D66" s="7" t="s">
        <v>54</v>
      </c>
      <c r="E66" s="8" t="s">
        <v>55</v>
      </c>
      <c r="F66" s="7" t="s">
        <v>320</v>
      </c>
    </row>
    <row r="67" spans="1:6" ht="15" customHeight="1" x14ac:dyDescent="0.25">
      <c r="A67" s="3">
        <v>46175</v>
      </c>
      <c r="B67" s="4" t="s">
        <v>321</v>
      </c>
      <c r="C67" s="4" t="s">
        <v>322</v>
      </c>
      <c r="D67" s="4" t="s">
        <v>54</v>
      </c>
      <c r="E67" s="5" t="s">
        <v>55</v>
      </c>
      <c r="F67" s="4" t="s">
        <v>323</v>
      </c>
    </row>
    <row r="68" spans="1:6" ht="15" customHeight="1" x14ac:dyDescent="0.25">
      <c r="A68" s="6">
        <v>46188</v>
      </c>
      <c r="B68" s="7" t="s">
        <v>324</v>
      </c>
      <c r="C68" s="7" t="s">
        <v>325</v>
      </c>
      <c r="D68" s="7" t="s">
        <v>54</v>
      </c>
      <c r="E68" s="8" t="s">
        <v>55</v>
      </c>
      <c r="F68" s="7" t="s">
        <v>326</v>
      </c>
    </row>
    <row r="69" spans="1:6" ht="15" customHeight="1" x14ac:dyDescent="0.25">
      <c r="A69" s="3">
        <v>46200</v>
      </c>
      <c r="B69" s="4" t="s">
        <v>327</v>
      </c>
      <c r="C69" s="4" t="s">
        <v>328</v>
      </c>
      <c r="D69" s="4" t="s">
        <v>152</v>
      </c>
      <c r="E69" s="5" t="s">
        <v>17</v>
      </c>
      <c r="F69" s="4" t="s">
        <v>329</v>
      </c>
    </row>
    <row r="70" spans="1:6" ht="15" customHeight="1" x14ac:dyDescent="0.25">
      <c r="A70" s="6">
        <v>46199</v>
      </c>
      <c r="B70" s="7" t="s">
        <v>330</v>
      </c>
      <c r="C70" s="7" t="s">
        <v>331</v>
      </c>
      <c r="D70" s="7" t="s">
        <v>282</v>
      </c>
      <c r="E70" s="8" t="s">
        <v>22</v>
      </c>
      <c r="F70" s="7" t="s">
        <v>332</v>
      </c>
    </row>
    <row r="71" spans="1:6" ht="15" customHeight="1" x14ac:dyDescent="0.25">
      <c r="A71" s="3">
        <v>46203</v>
      </c>
      <c r="B71" s="4" t="s">
        <v>333</v>
      </c>
      <c r="C71" s="4" t="s">
        <v>334</v>
      </c>
      <c r="D71" s="4" t="s">
        <v>171</v>
      </c>
      <c r="E71" s="5" t="s">
        <v>21</v>
      </c>
      <c r="F71" s="4" t="s">
        <v>335</v>
      </c>
    </row>
    <row r="72" spans="1:6" ht="15" customHeight="1" x14ac:dyDescent="0.25">
      <c r="A72" s="6">
        <v>46196</v>
      </c>
      <c r="B72" s="7" t="s">
        <v>336</v>
      </c>
      <c r="C72" s="7" t="s">
        <v>337</v>
      </c>
      <c r="D72" s="7" t="s">
        <v>171</v>
      </c>
      <c r="E72" s="8" t="s">
        <v>21</v>
      </c>
      <c r="F72" s="7" t="s">
        <v>338</v>
      </c>
    </row>
    <row r="73" spans="1:6" ht="15" customHeight="1" x14ac:dyDescent="0.25">
      <c r="A73" s="3"/>
      <c r="B73" s="4"/>
      <c r="C73" s="4"/>
      <c r="D73" s="4"/>
      <c r="E73" s="5"/>
      <c r="F73" s="5"/>
    </row>
    <row r="74" spans="1:6" ht="15" customHeight="1" x14ac:dyDescent="0.25">
      <c r="A74" s="6"/>
      <c r="B74" s="7"/>
      <c r="C74" s="7"/>
      <c r="D74" s="7"/>
      <c r="E74" s="8"/>
      <c r="F74" s="8"/>
    </row>
    <row r="75" spans="1:6" ht="15" customHeight="1" x14ac:dyDescent="0.25">
      <c r="A75" s="3"/>
      <c r="B75" s="4"/>
      <c r="C75" s="4"/>
      <c r="D75" s="4"/>
      <c r="E75" s="5"/>
      <c r="F75" s="5"/>
    </row>
    <row r="76" spans="1:6" ht="15" customHeight="1" x14ac:dyDescent="0.25">
      <c r="A76" s="6"/>
      <c r="B76" s="7"/>
      <c r="C76" s="7"/>
      <c r="D76" s="7"/>
      <c r="E76" s="8"/>
      <c r="F76" s="8"/>
    </row>
    <row r="77" spans="1:6" ht="15" customHeight="1" x14ac:dyDescent="0.25">
      <c r="A77" s="3"/>
      <c r="B77" s="4"/>
      <c r="C77" s="4"/>
      <c r="D77" s="4"/>
      <c r="E77" s="5"/>
      <c r="F77" s="5"/>
    </row>
    <row r="78" spans="1:6" ht="15" customHeight="1" x14ac:dyDescent="0.25">
      <c r="A78" s="6"/>
      <c r="B78" s="7"/>
      <c r="C78" s="7"/>
      <c r="D78" s="7"/>
      <c r="E78" s="8"/>
      <c r="F78" s="8"/>
    </row>
    <row r="79" spans="1:6" ht="15" customHeight="1" x14ac:dyDescent="0.25">
      <c r="A79" s="3"/>
      <c r="B79" s="4"/>
      <c r="C79" s="4"/>
      <c r="D79" s="4"/>
      <c r="E79" s="5"/>
      <c r="F79" s="5"/>
    </row>
    <row r="80" spans="1:6" ht="15" customHeight="1" x14ac:dyDescent="0.25">
      <c r="A80" s="6"/>
      <c r="B80" s="7"/>
      <c r="C80" s="7"/>
      <c r="D80" s="7"/>
      <c r="E80" s="8"/>
      <c r="F80" s="8"/>
    </row>
    <row r="81" spans="1:6" ht="15" customHeight="1" x14ac:dyDescent="0.25">
      <c r="A81" s="3"/>
      <c r="B81" s="4"/>
      <c r="C81" s="4"/>
      <c r="D81" s="4"/>
      <c r="E81" s="5"/>
      <c r="F81" s="5"/>
    </row>
    <row r="82" spans="1:6" ht="15" customHeight="1" x14ac:dyDescent="0.25">
      <c r="A82" s="6"/>
      <c r="B82" s="7"/>
      <c r="C82" s="7"/>
      <c r="D82" s="7"/>
      <c r="E82" s="8"/>
      <c r="F82" s="8"/>
    </row>
    <row r="83" spans="1:6" ht="15" customHeight="1" x14ac:dyDescent="0.25">
      <c r="A83" s="3"/>
      <c r="B83" s="4"/>
      <c r="C83" s="4"/>
      <c r="D83" s="4"/>
      <c r="E83" s="5"/>
      <c r="F83" s="5"/>
    </row>
    <row r="84" spans="1:6" ht="15" customHeight="1" x14ac:dyDescent="0.25">
      <c r="A84" s="6"/>
      <c r="B84" s="7"/>
      <c r="C84" s="7"/>
      <c r="D84" s="7"/>
      <c r="E84" s="8"/>
      <c r="F84" s="8"/>
    </row>
    <row r="85" spans="1:6" ht="15" customHeight="1" x14ac:dyDescent="0.25">
      <c r="A85" s="3"/>
      <c r="B85" s="4"/>
      <c r="C85" s="4"/>
      <c r="D85" s="4"/>
      <c r="E85" s="5"/>
      <c r="F85" s="5"/>
    </row>
    <row r="86" spans="1:6" ht="15" customHeight="1" x14ac:dyDescent="0.25">
      <c r="A86" s="6"/>
      <c r="B86" s="7"/>
      <c r="C86" s="7"/>
      <c r="D86" s="7"/>
      <c r="E86" s="8"/>
      <c r="F86" s="8"/>
    </row>
    <row r="87" spans="1:6" ht="15" customHeight="1" x14ac:dyDescent="0.25">
      <c r="A87" s="3"/>
      <c r="B87" s="4"/>
      <c r="C87" s="4"/>
      <c r="D87" s="4"/>
      <c r="E87" s="5"/>
      <c r="F87" s="5"/>
    </row>
    <row r="88" spans="1:6" ht="15" customHeight="1" x14ac:dyDescent="0.25">
      <c r="A88" s="6"/>
      <c r="B88" s="7"/>
      <c r="C88" s="7"/>
      <c r="D88" s="7"/>
      <c r="E88" s="8"/>
      <c r="F88" s="8"/>
    </row>
    <row r="89" spans="1:6" ht="15" customHeight="1" x14ac:dyDescent="0.25">
      <c r="A89" s="3"/>
      <c r="B89" s="4"/>
      <c r="C89" s="4"/>
      <c r="D89" s="4"/>
      <c r="E89" s="5"/>
      <c r="F89" s="5"/>
    </row>
    <row r="90" spans="1:6" ht="15" customHeight="1" x14ac:dyDescent="0.25">
      <c r="A90" s="6"/>
      <c r="B90" s="7"/>
      <c r="C90" s="7"/>
      <c r="D90" s="7"/>
      <c r="E90" s="8"/>
      <c r="F90" s="8"/>
    </row>
    <row r="91" spans="1:6" ht="15" customHeight="1" x14ac:dyDescent="0.25">
      <c r="A91" s="3"/>
      <c r="B91" s="4"/>
      <c r="C91" s="4"/>
      <c r="D91" s="4"/>
      <c r="E91" s="5"/>
      <c r="F91" s="5"/>
    </row>
    <row r="92" spans="1:6" ht="15" customHeight="1" x14ac:dyDescent="0.25">
      <c r="A92" s="6"/>
      <c r="B92" s="7"/>
      <c r="C92" s="7"/>
      <c r="D92" s="7"/>
      <c r="E92" s="8"/>
      <c r="F92" s="8"/>
    </row>
    <row r="93" spans="1:6" ht="15" customHeight="1" x14ac:dyDescent="0.25">
      <c r="A93" s="3"/>
      <c r="B93" s="4"/>
      <c r="C93" s="4"/>
      <c r="D93" s="4"/>
      <c r="E93" s="5"/>
      <c r="F93" s="5"/>
    </row>
    <row r="94" spans="1:6" ht="15" customHeight="1" x14ac:dyDescent="0.25">
      <c r="A94" s="6"/>
      <c r="B94" s="7"/>
      <c r="C94" s="7"/>
      <c r="D94" s="7"/>
      <c r="E94" s="8"/>
      <c r="F94" s="8"/>
    </row>
    <row r="95" spans="1:6" ht="15" customHeight="1" x14ac:dyDescent="0.25">
      <c r="A95" s="3"/>
      <c r="B95" s="4"/>
      <c r="C95" s="4"/>
      <c r="D95" s="4"/>
      <c r="E95" s="5"/>
      <c r="F95" s="5"/>
    </row>
    <row r="96" spans="1:6" ht="15" customHeight="1" x14ac:dyDescent="0.25">
      <c r="A96" s="6"/>
      <c r="B96" s="7"/>
      <c r="C96" s="7"/>
      <c r="D96" s="7"/>
      <c r="E96" s="8"/>
      <c r="F96" s="8"/>
    </row>
    <row r="97" spans="1:6" ht="15" customHeight="1" x14ac:dyDescent="0.25">
      <c r="A97" s="3"/>
      <c r="B97" s="4"/>
      <c r="C97" s="4"/>
      <c r="D97" s="4"/>
      <c r="E97" s="5"/>
      <c r="F97" s="5"/>
    </row>
    <row r="98" spans="1:6" ht="15" customHeight="1" x14ac:dyDescent="0.25">
      <c r="A98" s="6"/>
      <c r="B98" s="7"/>
      <c r="C98" s="7"/>
      <c r="D98" s="7"/>
      <c r="E98" s="8"/>
      <c r="F98" s="8"/>
    </row>
    <row r="99" spans="1:6" ht="15" customHeight="1" x14ac:dyDescent="0.25">
      <c r="A99" s="3"/>
      <c r="B99" s="4"/>
      <c r="C99" s="4"/>
      <c r="D99" s="4"/>
      <c r="E99" s="5"/>
      <c r="F99" s="5"/>
    </row>
    <row r="100" spans="1:6" ht="15" customHeight="1" x14ac:dyDescent="0.25">
      <c r="A100" s="6"/>
      <c r="B100" s="7"/>
      <c r="C100" s="7"/>
      <c r="D100" s="7"/>
      <c r="E100" s="8"/>
      <c r="F100" s="8"/>
    </row>
    <row r="101" spans="1:6" ht="15" customHeight="1" x14ac:dyDescent="0.25">
      <c r="A101" s="3"/>
      <c r="B101" s="4"/>
      <c r="C101" s="4"/>
      <c r="D101" s="4"/>
      <c r="E101" s="5"/>
      <c r="F101" s="5"/>
    </row>
    <row r="102" spans="1:6" ht="15" customHeight="1" x14ac:dyDescent="0.25">
      <c r="A102" s="6"/>
      <c r="B102" s="7"/>
      <c r="C102" s="7"/>
      <c r="D102" s="7"/>
      <c r="E102" s="8"/>
      <c r="F102" s="8"/>
    </row>
  </sheetData>
  <autoFilter ref="A2:F102" xr:uid="{00000000-0009-0000-00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mergeCells count="1">
    <mergeCell ref="A1:F1"/>
  </mergeCells>
  <phoneticPr fontId="19" type="noConversion"/>
  <pageMargins left="0.75" right="0.75" top="1" bottom="1" header="0.511811023622047" footer="0.511811023622047"/>
  <pageSetup orientation="landscape" horizontalDpi="300" verticalDpi="300"/>
  <headerFooter>
    <oddHeader>&amp;L&amp;"Aptos"&amp;8&amp;K0000FF [PRIVATE]&amp;1#_x000D_</oddHeader>
    <oddFooter>&amp;L_x000D_&amp;1#&amp;"Aptos"&amp;8&amp;K0000FF [PRIVATE]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Nome inválido" error="Selecione um nome da lista." xr:uid="{00000000-0002-0000-0100-000000000000}">
          <x14:formula1>
            <xm:f>LISTAS!$A$2:$A$26</xm:f>
          </x14:formula1>
          <xm:sqref>E3:E10 E12:E202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E102"/>
  <sheetViews>
    <sheetView showGridLines="0" zoomScaleNormal="100" workbookViewId="0">
      <pane ySplit="2" topLeftCell="A3" activePane="bottomLeft" state="frozen"/>
      <selection pane="bottomLeft" activeCell="A16" sqref="A16"/>
    </sheetView>
  </sheetViews>
  <sheetFormatPr defaultColWidth="8.7109375" defaultRowHeight="15" x14ac:dyDescent="0.25"/>
  <cols>
    <col min="1" max="1" width="12.140625" customWidth="1"/>
    <col min="2" max="2" width="16.7109375" customWidth="1"/>
    <col min="3" max="3" width="16" customWidth="1"/>
    <col min="4" max="4" width="34.28515625" customWidth="1"/>
    <col min="5" max="5" width="32.7109375" customWidth="1"/>
  </cols>
  <sheetData>
    <row r="1" spans="1:5" ht="31.5" customHeight="1" x14ac:dyDescent="0.25">
      <c r="A1" s="43" t="s">
        <v>76</v>
      </c>
      <c r="B1" s="44"/>
      <c r="C1" s="44"/>
      <c r="D1" s="44"/>
      <c r="E1" s="44"/>
    </row>
    <row r="2" spans="1:5" ht="21.75" customHeight="1" x14ac:dyDescent="0.25">
      <c r="A2" s="2" t="s">
        <v>42</v>
      </c>
      <c r="B2" s="2" t="s">
        <v>77</v>
      </c>
      <c r="C2" s="2" t="s">
        <v>78</v>
      </c>
      <c r="D2" s="2" t="s">
        <v>79</v>
      </c>
      <c r="E2" s="2" t="s">
        <v>80</v>
      </c>
    </row>
    <row r="3" spans="1:5" ht="15" customHeight="1" x14ac:dyDescent="0.25">
      <c r="A3" s="3">
        <v>46149</v>
      </c>
      <c r="B3" s="15" t="s">
        <v>81</v>
      </c>
      <c r="C3" s="4" t="s">
        <v>82</v>
      </c>
      <c r="D3" s="4" t="s">
        <v>83</v>
      </c>
      <c r="E3" s="5" t="s">
        <v>84</v>
      </c>
    </row>
    <row r="4" spans="1:5" ht="15" customHeight="1" x14ac:dyDescent="0.25">
      <c r="A4" s="6">
        <v>46154</v>
      </c>
      <c r="B4" s="20" t="s">
        <v>120</v>
      </c>
      <c r="C4" s="20" t="s">
        <v>119</v>
      </c>
      <c r="D4" s="7" t="s">
        <v>112</v>
      </c>
      <c r="E4" s="8" t="s">
        <v>84</v>
      </c>
    </row>
    <row r="5" spans="1:5" ht="15" customHeight="1" x14ac:dyDescent="0.25">
      <c r="A5" s="3">
        <v>46153</v>
      </c>
      <c r="B5" s="4" t="s">
        <v>121</v>
      </c>
      <c r="C5" s="4" t="s">
        <v>122</v>
      </c>
      <c r="D5" s="4" t="s">
        <v>37</v>
      </c>
      <c r="E5" s="5" t="s">
        <v>123</v>
      </c>
    </row>
    <row r="6" spans="1:5" ht="15" customHeight="1" x14ac:dyDescent="0.25">
      <c r="A6" s="6">
        <v>46149</v>
      </c>
      <c r="B6" s="7" t="s">
        <v>124</v>
      </c>
      <c r="C6" s="7" t="s">
        <v>124</v>
      </c>
      <c r="D6" s="7" t="s">
        <v>112</v>
      </c>
      <c r="E6" s="8" t="s">
        <v>125</v>
      </c>
    </row>
    <row r="7" spans="1:5" ht="15" customHeight="1" x14ac:dyDescent="0.25">
      <c r="A7" s="3">
        <v>46057</v>
      </c>
      <c r="B7" s="4" t="s">
        <v>179</v>
      </c>
      <c r="C7" s="4" t="s">
        <v>178</v>
      </c>
      <c r="D7" s="4" t="s">
        <v>109</v>
      </c>
      <c r="E7" s="5" t="s">
        <v>84</v>
      </c>
    </row>
    <row r="8" spans="1:5" ht="15" customHeight="1" x14ac:dyDescent="0.25">
      <c r="A8" s="6">
        <v>46154</v>
      </c>
      <c r="B8" s="7" t="s">
        <v>198</v>
      </c>
      <c r="C8" s="7" t="s">
        <v>122</v>
      </c>
      <c r="D8" s="7" t="s">
        <v>112</v>
      </c>
      <c r="E8" s="8" t="s">
        <v>199</v>
      </c>
    </row>
    <row r="9" spans="1:5" ht="15" customHeight="1" x14ac:dyDescent="0.25">
      <c r="A9" s="3">
        <v>46156</v>
      </c>
      <c r="B9" s="4" t="s">
        <v>200</v>
      </c>
      <c r="C9" s="4" t="s">
        <v>201</v>
      </c>
      <c r="D9" s="4" t="s">
        <v>106</v>
      </c>
      <c r="E9" s="5" t="s">
        <v>125</v>
      </c>
    </row>
    <row r="10" spans="1:5" ht="15" customHeight="1" x14ac:dyDescent="0.25">
      <c r="A10" s="6">
        <v>46155</v>
      </c>
      <c r="B10" s="7" t="s">
        <v>207</v>
      </c>
      <c r="C10" s="7" t="s">
        <v>206</v>
      </c>
      <c r="D10" s="7" t="s">
        <v>106</v>
      </c>
      <c r="E10" s="8" t="s">
        <v>84</v>
      </c>
    </row>
    <row r="11" spans="1:5" ht="15" customHeight="1" x14ac:dyDescent="0.25">
      <c r="A11" s="3">
        <v>46157</v>
      </c>
      <c r="B11" s="4" t="s">
        <v>208</v>
      </c>
      <c r="C11" s="4" t="s">
        <v>122</v>
      </c>
      <c r="D11" s="4" t="s">
        <v>112</v>
      </c>
      <c r="E11" s="5" t="s">
        <v>199</v>
      </c>
    </row>
    <row r="12" spans="1:5" ht="15" customHeight="1" x14ac:dyDescent="0.25">
      <c r="A12" s="6">
        <v>46155</v>
      </c>
      <c r="B12" s="7" t="s">
        <v>209</v>
      </c>
      <c r="C12" s="7" t="s">
        <v>210</v>
      </c>
      <c r="D12" s="7" t="s">
        <v>37</v>
      </c>
      <c r="E12" s="8" t="s">
        <v>84</v>
      </c>
    </row>
    <row r="13" spans="1:5" ht="15" customHeight="1" x14ac:dyDescent="0.25">
      <c r="A13" s="3">
        <v>46155</v>
      </c>
      <c r="B13" s="4" t="s">
        <v>215</v>
      </c>
      <c r="C13" s="4" t="s">
        <v>216</v>
      </c>
      <c r="D13" s="4" t="s">
        <v>106</v>
      </c>
      <c r="E13" s="5" t="s">
        <v>84</v>
      </c>
    </row>
    <row r="14" spans="1:5" ht="15" customHeight="1" x14ac:dyDescent="0.25">
      <c r="A14" s="6">
        <v>46156</v>
      </c>
      <c r="B14" s="7" t="s">
        <v>233</v>
      </c>
      <c r="C14" s="7" t="s">
        <v>234</v>
      </c>
      <c r="D14" s="7" t="s">
        <v>112</v>
      </c>
      <c r="E14" s="8" t="s">
        <v>84</v>
      </c>
    </row>
    <row r="15" spans="1:5" ht="15" customHeight="1" x14ac:dyDescent="0.25">
      <c r="A15" s="3">
        <v>46154</v>
      </c>
      <c r="B15" s="4" t="s">
        <v>263</v>
      </c>
      <c r="C15" s="4" t="s">
        <v>122</v>
      </c>
      <c r="D15" s="4" t="s">
        <v>83</v>
      </c>
      <c r="E15" s="5" t="s">
        <v>199</v>
      </c>
    </row>
    <row r="16" spans="1:5" ht="15" customHeight="1" x14ac:dyDescent="0.25">
      <c r="A16" s="6"/>
      <c r="B16" s="7"/>
      <c r="C16" s="7"/>
      <c r="D16" s="7"/>
      <c r="E16" s="8"/>
    </row>
    <row r="17" spans="1:5" ht="15" customHeight="1" x14ac:dyDescent="0.25">
      <c r="A17" s="3"/>
      <c r="B17" s="4"/>
      <c r="C17" s="4"/>
      <c r="D17" s="4"/>
      <c r="E17" s="5"/>
    </row>
    <row r="18" spans="1:5" ht="15" customHeight="1" x14ac:dyDescent="0.25">
      <c r="A18" s="6"/>
      <c r="B18" s="7"/>
      <c r="C18" s="7"/>
      <c r="D18" s="7"/>
      <c r="E18" s="8"/>
    </row>
    <row r="19" spans="1:5" ht="15" customHeight="1" x14ac:dyDescent="0.25">
      <c r="A19" s="3"/>
      <c r="B19" s="4"/>
      <c r="C19" s="4"/>
      <c r="D19" s="4"/>
      <c r="E19" s="5"/>
    </row>
    <row r="20" spans="1:5" ht="15" customHeight="1" x14ac:dyDescent="0.25">
      <c r="A20" s="6"/>
      <c r="B20" s="7"/>
      <c r="C20" s="7"/>
      <c r="D20" s="7"/>
      <c r="E20" s="8"/>
    </row>
    <row r="21" spans="1:5" ht="15" customHeight="1" x14ac:dyDescent="0.25">
      <c r="A21" s="3"/>
      <c r="B21" s="4"/>
      <c r="C21" s="4"/>
      <c r="D21" s="4"/>
      <c r="E21" s="5"/>
    </row>
    <row r="22" spans="1:5" ht="15" customHeight="1" x14ac:dyDescent="0.25">
      <c r="A22" s="6"/>
      <c r="B22" s="7"/>
      <c r="C22" s="7"/>
      <c r="D22" s="7"/>
      <c r="E22" s="8"/>
    </row>
    <row r="23" spans="1:5" ht="15" customHeight="1" x14ac:dyDescent="0.25">
      <c r="A23" s="3"/>
      <c r="B23" s="4"/>
      <c r="C23" s="4"/>
      <c r="D23" s="4"/>
      <c r="E23" s="5"/>
    </row>
    <row r="24" spans="1:5" ht="15" customHeight="1" x14ac:dyDescent="0.25">
      <c r="A24" s="6"/>
      <c r="B24" s="7"/>
      <c r="C24" s="7"/>
      <c r="D24" s="7"/>
      <c r="E24" s="8"/>
    </row>
    <row r="25" spans="1:5" ht="15" customHeight="1" x14ac:dyDescent="0.25">
      <c r="A25" s="3"/>
      <c r="B25" s="4"/>
      <c r="C25" s="4"/>
      <c r="D25" s="4"/>
      <c r="E25" s="5"/>
    </row>
    <row r="26" spans="1:5" ht="15" customHeight="1" x14ac:dyDescent="0.25">
      <c r="A26" s="6"/>
      <c r="B26" s="7"/>
      <c r="C26" s="7"/>
      <c r="D26" s="7"/>
      <c r="E26" s="8"/>
    </row>
    <row r="27" spans="1:5" ht="15" customHeight="1" x14ac:dyDescent="0.25">
      <c r="A27" s="3"/>
      <c r="B27" s="4"/>
      <c r="C27" s="4"/>
      <c r="D27" s="4"/>
      <c r="E27" s="5"/>
    </row>
    <row r="28" spans="1:5" ht="15" customHeight="1" x14ac:dyDescent="0.25">
      <c r="A28" s="6"/>
      <c r="B28" s="7"/>
      <c r="C28" s="7"/>
      <c r="D28" s="7"/>
      <c r="E28" s="8"/>
    </row>
    <row r="29" spans="1:5" ht="15" customHeight="1" x14ac:dyDescent="0.25">
      <c r="A29" s="3"/>
      <c r="B29" s="4"/>
      <c r="C29" s="4"/>
      <c r="D29" s="4"/>
      <c r="E29" s="5"/>
    </row>
    <row r="30" spans="1:5" ht="15" customHeight="1" x14ac:dyDescent="0.25">
      <c r="A30" s="6"/>
      <c r="B30" s="7"/>
      <c r="C30" s="7"/>
      <c r="D30" s="7"/>
      <c r="E30" s="8"/>
    </row>
    <row r="31" spans="1:5" ht="15" customHeight="1" x14ac:dyDescent="0.25">
      <c r="A31" s="3"/>
      <c r="B31" s="4"/>
      <c r="C31" s="4"/>
      <c r="D31" s="4"/>
      <c r="E31" s="5"/>
    </row>
    <row r="32" spans="1:5" ht="15" customHeight="1" x14ac:dyDescent="0.25">
      <c r="A32" s="6"/>
      <c r="B32" s="7"/>
      <c r="C32" s="7"/>
      <c r="D32" s="7"/>
      <c r="E32" s="8"/>
    </row>
    <row r="33" spans="1:5" ht="15" customHeight="1" x14ac:dyDescent="0.25">
      <c r="A33" s="3"/>
      <c r="B33" s="4"/>
      <c r="C33" s="4"/>
      <c r="D33" s="4"/>
      <c r="E33" s="5"/>
    </row>
    <row r="34" spans="1:5" ht="15" customHeight="1" x14ac:dyDescent="0.25">
      <c r="A34" s="6"/>
      <c r="B34" s="7"/>
      <c r="C34" s="7"/>
      <c r="D34" s="7"/>
      <c r="E34" s="8"/>
    </row>
    <row r="35" spans="1:5" ht="15" customHeight="1" x14ac:dyDescent="0.25">
      <c r="A35" s="3"/>
      <c r="B35" s="4"/>
      <c r="C35" s="4"/>
      <c r="D35" s="4"/>
      <c r="E35" s="5"/>
    </row>
    <row r="36" spans="1:5" ht="15" customHeight="1" x14ac:dyDescent="0.25">
      <c r="A36" s="6"/>
      <c r="B36" s="7"/>
      <c r="C36" s="7"/>
      <c r="D36" s="7"/>
      <c r="E36" s="8"/>
    </row>
    <row r="37" spans="1:5" ht="15" customHeight="1" x14ac:dyDescent="0.25">
      <c r="A37" s="3"/>
      <c r="B37" s="4"/>
      <c r="C37" s="4"/>
      <c r="D37" s="4"/>
      <c r="E37" s="5"/>
    </row>
    <row r="38" spans="1:5" ht="15" customHeight="1" x14ac:dyDescent="0.25">
      <c r="A38" s="6"/>
      <c r="B38" s="7"/>
      <c r="C38" s="7"/>
      <c r="D38" s="7"/>
      <c r="E38" s="8"/>
    </row>
    <row r="39" spans="1:5" ht="15" customHeight="1" x14ac:dyDescent="0.25">
      <c r="A39" s="3"/>
      <c r="B39" s="4"/>
      <c r="C39" s="4"/>
      <c r="D39" s="4"/>
      <c r="E39" s="5"/>
    </row>
    <row r="40" spans="1:5" ht="15" customHeight="1" x14ac:dyDescent="0.25">
      <c r="A40" s="6"/>
      <c r="B40" s="7"/>
      <c r="C40" s="7"/>
      <c r="D40" s="7"/>
      <c r="E40" s="8"/>
    </row>
    <row r="41" spans="1:5" ht="15" customHeight="1" x14ac:dyDescent="0.25">
      <c r="A41" s="3"/>
      <c r="B41" s="4"/>
      <c r="C41" s="4"/>
      <c r="D41" s="4"/>
      <c r="E41" s="5"/>
    </row>
    <row r="42" spans="1:5" ht="15" customHeight="1" x14ac:dyDescent="0.25">
      <c r="A42" s="6"/>
      <c r="B42" s="7"/>
      <c r="C42" s="7"/>
      <c r="D42" s="7"/>
      <c r="E42" s="8"/>
    </row>
    <row r="43" spans="1:5" ht="15" customHeight="1" x14ac:dyDescent="0.25">
      <c r="A43" s="3"/>
      <c r="B43" s="4"/>
      <c r="C43" s="4"/>
      <c r="D43" s="4"/>
      <c r="E43" s="5"/>
    </row>
    <row r="44" spans="1:5" ht="15" customHeight="1" x14ac:dyDescent="0.25">
      <c r="A44" s="6"/>
      <c r="B44" s="7"/>
      <c r="C44" s="7"/>
      <c r="D44" s="7"/>
      <c r="E44" s="8"/>
    </row>
    <row r="45" spans="1:5" ht="15" customHeight="1" x14ac:dyDescent="0.25">
      <c r="A45" s="3"/>
      <c r="B45" s="4"/>
      <c r="C45" s="4"/>
      <c r="D45" s="4"/>
      <c r="E45" s="5"/>
    </row>
    <row r="46" spans="1:5" ht="15" customHeight="1" x14ac:dyDescent="0.25">
      <c r="A46" s="6"/>
      <c r="B46" s="7"/>
      <c r="C46" s="7"/>
      <c r="D46" s="7"/>
      <c r="E46" s="8"/>
    </row>
    <row r="47" spans="1:5" ht="15" customHeight="1" x14ac:dyDescent="0.25">
      <c r="A47" s="3"/>
      <c r="B47" s="4"/>
      <c r="C47" s="4"/>
      <c r="D47" s="4"/>
      <c r="E47" s="5"/>
    </row>
    <row r="48" spans="1:5" ht="15" customHeight="1" x14ac:dyDescent="0.25">
      <c r="A48" s="6"/>
      <c r="B48" s="7"/>
      <c r="C48" s="7"/>
      <c r="D48" s="7"/>
      <c r="E48" s="8"/>
    </row>
    <row r="49" spans="1:5" ht="15" customHeight="1" x14ac:dyDescent="0.25">
      <c r="A49" s="3"/>
      <c r="B49" s="4"/>
      <c r="C49" s="4"/>
      <c r="D49" s="4"/>
      <c r="E49" s="5"/>
    </row>
    <row r="50" spans="1:5" ht="15" customHeight="1" x14ac:dyDescent="0.25">
      <c r="A50" s="6"/>
      <c r="B50" s="7"/>
      <c r="C50" s="7"/>
      <c r="D50" s="7"/>
      <c r="E50" s="8"/>
    </row>
    <row r="51" spans="1:5" ht="15" customHeight="1" x14ac:dyDescent="0.25">
      <c r="A51" s="3"/>
      <c r="B51" s="4"/>
      <c r="C51" s="4"/>
      <c r="D51" s="4"/>
      <c r="E51" s="5"/>
    </row>
    <row r="52" spans="1:5" ht="15" customHeight="1" x14ac:dyDescent="0.25">
      <c r="A52" s="6"/>
      <c r="B52" s="7"/>
      <c r="C52" s="7"/>
      <c r="D52" s="7"/>
      <c r="E52" s="8"/>
    </row>
    <row r="53" spans="1:5" ht="15" customHeight="1" x14ac:dyDescent="0.25">
      <c r="A53" s="3"/>
      <c r="B53" s="4"/>
      <c r="C53" s="4"/>
      <c r="D53" s="4"/>
      <c r="E53" s="5"/>
    </row>
    <row r="54" spans="1:5" ht="15" customHeight="1" x14ac:dyDescent="0.25">
      <c r="A54" s="6"/>
      <c r="B54" s="7"/>
      <c r="C54" s="7"/>
      <c r="D54" s="7"/>
      <c r="E54" s="8"/>
    </row>
    <row r="55" spans="1:5" ht="15" customHeight="1" x14ac:dyDescent="0.25">
      <c r="A55" s="3"/>
      <c r="B55" s="4"/>
      <c r="C55" s="4"/>
      <c r="D55" s="4"/>
      <c r="E55" s="5"/>
    </row>
    <row r="56" spans="1:5" ht="15" customHeight="1" x14ac:dyDescent="0.25">
      <c r="A56" s="6"/>
      <c r="B56" s="7"/>
      <c r="C56" s="7"/>
      <c r="D56" s="7"/>
      <c r="E56" s="8"/>
    </row>
    <row r="57" spans="1:5" ht="15" customHeight="1" x14ac:dyDescent="0.25">
      <c r="A57" s="3"/>
      <c r="B57" s="4"/>
      <c r="C57" s="4"/>
      <c r="D57" s="4"/>
      <c r="E57" s="5"/>
    </row>
    <row r="58" spans="1:5" ht="15" customHeight="1" x14ac:dyDescent="0.25">
      <c r="A58" s="6"/>
      <c r="B58" s="7"/>
      <c r="C58" s="7"/>
      <c r="D58" s="7"/>
      <c r="E58" s="8"/>
    </row>
    <row r="59" spans="1:5" ht="15" customHeight="1" x14ac:dyDescent="0.25">
      <c r="A59" s="3"/>
      <c r="B59" s="4"/>
      <c r="C59" s="4"/>
      <c r="D59" s="4"/>
      <c r="E59" s="5"/>
    </row>
    <row r="60" spans="1:5" ht="15" customHeight="1" x14ac:dyDescent="0.25">
      <c r="A60" s="6"/>
      <c r="B60" s="7"/>
      <c r="C60" s="7"/>
      <c r="D60" s="7"/>
      <c r="E60" s="8"/>
    </row>
    <row r="61" spans="1:5" ht="15" customHeight="1" x14ac:dyDescent="0.25">
      <c r="A61" s="3"/>
      <c r="B61" s="4"/>
      <c r="C61" s="4"/>
      <c r="D61" s="4"/>
      <c r="E61" s="5"/>
    </row>
    <row r="62" spans="1:5" ht="15" customHeight="1" x14ac:dyDescent="0.25">
      <c r="A62" s="6"/>
      <c r="B62" s="7"/>
      <c r="C62" s="7"/>
      <c r="D62" s="7"/>
      <c r="E62" s="8"/>
    </row>
    <row r="63" spans="1:5" ht="15" customHeight="1" x14ac:dyDescent="0.25">
      <c r="A63" s="3"/>
      <c r="B63" s="4"/>
      <c r="C63" s="4"/>
      <c r="D63" s="4"/>
      <c r="E63" s="5"/>
    </row>
    <row r="64" spans="1:5" ht="15" customHeight="1" x14ac:dyDescent="0.25">
      <c r="A64" s="6"/>
      <c r="B64" s="7"/>
      <c r="C64" s="7"/>
      <c r="D64" s="7"/>
      <c r="E64" s="8"/>
    </row>
    <row r="65" spans="1:5" ht="15" customHeight="1" x14ac:dyDescent="0.25">
      <c r="A65" s="3"/>
      <c r="B65" s="4"/>
      <c r="C65" s="4"/>
      <c r="D65" s="4"/>
      <c r="E65" s="5"/>
    </row>
    <row r="66" spans="1:5" ht="15" customHeight="1" x14ac:dyDescent="0.25">
      <c r="A66" s="6"/>
      <c r="B66" s="7"/>
      <c r="C66" s="7"/>
      <c r="D66" s="7"/>
      <c r="E66" s="8"/>
    </row>
    <row r="67" spans="1:5" ht="15" customHeight="1" x14ac:dyDescent="0.25">
      <c r="A67" s="3"/>
      <c r="B67" s="4"/>
      <c r="C67" s="4"/>
      <c r="D67" s="4"/>
      <c r="E67" s="5"/>
    </row>
    <row r="68" spans="1:5" ht="15" customHeight="1" x14ac:dyDescent="0.25">
      <c r="A68" s="6"/>
      <c r="B68" s="7"/>
      <c r="C68" s="7"/>
      <c r="D68" s="7"/>
      <c r="E68" s="8"/>
    </row>
    <row r="69" spans="1:5" ht="15" customHeight="1" x14ac:dyDescent="0.25">
      <c r="A69" s="3"/>
      <c r="B69" s="4"/>
      <c r="C69" s="4"/>
      <c r="D69" s="4"/>
      <c r="E69" s="5"/>
    </row>
    <row r="70" spans="1:5" ht="15" customHeight="1" x14ac:dyDescent="0.25">
      <c r="A70" s="6"/>
      <c r="B70" s="7"/>
      <c r="C70" s="7"/>
      <c r="D70" s="7"/>
      <c r="E70" s="8"/>
    </row>
    <row r="71" spans="1:5" ht="15" customHeight="1" x14ac:dyDescent="0.25">
      <c r="A71" s="3"/>
      <c r="B71" s="4"/>
      <c r="C71" s="4"/>
      <c r="D71" s="4"/>
      <c r="E71" s="5"/>
    </row>
    <row r="72" spans="1:5" ht="15" customHeight="1" x14ac:dyDescent="0.25">
      <c r="A72" s="6"/>
      <c r="B72" s="7"/>
      <c r="C72" s="7"/>
      <c r="D72" s="7"/>
      <c r="E72" s="8"/>
    </row>
    <row r="73" spans="1:5" ht="15" customHeight="1" x14ac:dyDescent="0.25">
      <c r="A73" s="3"/>
      <c r="B73" s="4"/>
      <c r="C73" s="4"/>
      <c r="D73" s="4"/>
      <c r="E73" s="5"/>
    </row>
    <row r="74" spans="1:5" ht="15" customHeight="1" x14ac:dyDescent="0.25">
      <c r="A74" s="6"/>
      <c r="B74" s="7"/>
      <c r="C74" s="7"/>
      <c r="D74" s="7"/>
      <c r="E74" s="8"/>
    </row>
    <row r="75" spans="1:5" ht="15" customHeight="1" x14ac:dyDescent="0.25">
      <c r="A75" s="3"/>
      <c r="B75" s="4"/>
      <c r="C75" s="4"/>
      <c r="D75" s="4"/>
      <c r="E75" s="5"/>
    </row>
    <row r="76" spans="1:5" ht="15" customHeight="1" x14ac:dyDescent="0.25">
      <c r="A76" s="6"/>
      <c r="B76" s="7"/>
      <c r="C76" s="7"/>
      <c r="D76" s="7"/>
      <c r="E76" s="8"/>
    </row>
    <row r="77" spans="1:5" ht="15" customHeight="1" x14ac:dyDescent="0.25">
      <c r="A77" s="3"/>
      <c r="B77" s="4"/>
      <c r="C77" s="4"/>
      <c r="D77" s="4"/>
      <c r="E77" s="5"/>
    </row>
    <row r="78" spans="1:5" ht="15" customHeight="1" x14ac:dyDescent="0.25">
      <c r="A78" s="6"/>
      <c r="B78" s="7"/>
      <c r="C78" s="7"/>
      <c r="D78" s="7"/>
      <c r="E78" s="8"/>
    </row>
    <row r="79" spans="1:5" ht="15" customHeight="1" x14ac:dyDescent="0.25">
      <c r="A79" s="3"/>
      <c r="B79" s="4"/>
      <c r="C79" s="4"/>
      <c r="D79" s="4"/>
      <c r="E79" s="5"/>
    </row>
    <row r="80" spans="1:5" ht="15" customHeight="1" x14ac:dyDescent="0.25">
      <c r="A80" s="6"/>
      <c r="B80" s="7"/>
      <c r="C80" s="7"/>
      <c r="D80" s="7"/>
      <c r="E80" s="8"/>
    </row>
    <row r="81" spans="1:5" ht="15" customHeight="1" x14ac:dyDescent="0.25">
      <c r="A81" s="3"/>
      <c r="B81" s="4"/>
      <c r="C81" s="4"/>
      <c r="D81" s="4"/>
      <c r="E81" s="5"/>
    </row>
    <row r="82" spans="1:5" ht="15" customHeight="1" x14ac:dyDescent="0.25">
      <c r="A82" s="6"/>
      <c r="B82" s="7"/>
      <c r="C82" s="7"/>
      <c r="D82" s="7"/>
      <c r="E82" s="8"/>
    </row>
    <row r="83" spans="1:5" ht="15" customHeight="1" x14ac:dyDescent="0.25">
      <c r="A83" s="3"/>
      <c r="B83" s="4"/>
      <c r="C83" s="4"/>
      <c r="D83" s="4"/>
      <c r="E83" s="5"/>
    </row>
    <row r="84" spans="1:5" ht="15" customHeight="1" x14ac:dyDescent="0.25">
      <c r="A84" s="6"/>
      <c r="B84" s="7"/>
      <c r="C84" s="7"/>
      <c r="D84" s="7"/>
      <c r="E84" s="8"/>
    </row>
    <row r="85" spans="1:5" ht="15" customHeight="1" x14ac:dyDescent="0.25">
      <c r="A85" s="3"/>
      <c r="B85" s="4"/>
      <c r="C85" s="4"/>
      <c r="D85" s="4"/>
      <c r="E85" s="5"/>
    </row>
    <row r="86" spans="1:5" ht="15" customHeight="1" x14ac:dyDescent="0.25">
      <c r="A86" s="6"/>
      <c r="B86" s="7"/>
      <c r="C86" s="7"/>
      <c r="D86" s="7"/>
      <c r="E86" s="8"/>
    </row>
    <row r="87" spans="1:5" ht="15" customHeight="1" x14ac:dyDescent="0.25">
      <c r="A87" s="3"/>
      <c r="B87" s="4"/>
      <c r="C87" s="4"/>
      <c r="D87" s="4"/>
      <c r="E87" s="5"/>
    </row>
    <row r="88" spans="1:5" ht="15" customHeight="1" x14ac:dyDescent="0.25">
      <c r="A88" s="6"/>
      <c r="B88" s="7"/>
      <c r="C88" s="7"/>
      <c r="D88" s="7"/>
      <c r="E88" s="8"/>
    </row>
    <row r="89" spans="1:5" ht="15" customHeight="1" x14ac:dyDescent="0.25">
      <c r="A89" s="3"/>
      <c r="B89" s="4"/>
      <c r="C89" s="4"/>
      <c r="D89" s="4"/>
      <c r="E89" s="5"/>
    </row>
    <row r="90" spans="1:5" ht="15" customHeight="1" x14ac:dyDescent="0.25">
      <c r="A90" s="6"/>
      <c r="B90" s="7"/>
      <c r="C90" s="7"/>
      <c r="D90" s="7"/>
      <c r="E90" s="8"/>
    </row>
    <row r="91" spans="1:5" ht="15" customHeight="1" x14ac:dyDescent="0.25">
      <c r="A91" s="3"/>
      <c r="B91" s="4"/>
      <c r="C91" s="4"/>
      <c r="D91" s="4"/>
      <c r="E91" s="5"/>
    </row>
    <row r="92" spans="1:5" ht="15" customHeight="1" x14ac:dyDescent="0.25">
      <c r="A92" s="6"/>
      <c r="B92" s="7"/>
      <c r="C92" s="7"/>
      <c r="D92" s="7"/>
      <c r="E92" s="8"/>
    </row>
    <row r="93" spans="1:5" ht="15" customHeight="1" x14ac:dyDescent="0.25">
      <c r="A93" s="3"/>
      <c r="B93" s="4"/>
      <c r="C93" s="4"/>
      <c r="D93" s="4"/>
      <c r="E93" s="5"/>
    </row>
    <row r="94" spans="1:5" ht="15" customHeight="1" x14ac:dyDescent="0.25">
      <c r="A94" s="6"/>
      <c r="B94" s="7"/>
      <c r="C94" s="7"/>
      <c r="D94" s="7"/>
      <c r="E94" s="8"/>
    </row>
    <row r="95" spans="1:5" ht="15" customHeight="1" x14ac:dyDescent="0.25">
      <c r="A95" s="3"/>
      <c r="B95" s="4"/>
      <c r="C95" s="4"/>
      <c r="D95" s="4"/>
      <c r="E95" s="5"/>
    </row>
    <row r="96" spans="1:5" ht="15" customHeight="1" x14ac:dyDescent="0.25">
      <c r="A96" s="6"/>
      <c r="B96" s="7"/>
      <c r="C96" s="7"/>
      <c r="D96" s="7"/>
      <c r="E96" s="8"/>
    </row>
    <row r="97" spans="1:5" ht="15" customHeight="1" x14ac:dyDescent="0.25">
      <c r="A97" s="3"/>
      <c r="B97" s="4"/>
      <c r="C97" s="4"/>
      <c r="D97" s="4"/>
      <c r="E97" s="5"/>
    </row>
    <row r="98" spans="1:5" ht="15" customHeight="1" x14ac:dyDescent="0.25">
      <c r="A98" s="6"/>
      <c r="B98" s="7"/>
      <c r="C98" s="7"/>
      <c r="D98" s="7"/>
      <c r="E98" s="8"/>
    </row>
    <row r="99" spans="1:5" ht="15" customHeight="1" x14ac:dyDescent="0.25">
      <c r="A99" s="3"/>
      <c r="B99" s="4"/>
      <c r="C99" s="4"/>
      <c r="D99" s="4"/>
      <c r="E99" s="5"/>
    </row>
    <row r="100" spans="1:5" ht="15" customHeight="1" x14ac:dyDescent="0.25">
      <c r="A100" s="6"/>
      <c r="B100" s="7"/>
      <c r="C100" s="7"/>
      <c r="D100" s="7"/>
      <c r="E100" s="8"/>
    </row>
    <row r="101" spans="1:5" ht="15" customHeight="1" x14ac:dyDescent="0.25">
      <c r="A101" s="3"/>
      <c r="B101" s="4"/>
      <c r="C101" s="4"/>
      <c r="D101" s="4"/>
      <c r="E101" s="5"/>
    </row>
    <row r="102" spans="1:5" ht="15" customHeight="1" x14ac:dyDescent="0.25">
      <c r="A102" s="6"/>
      <c r="B102" s="7"/>
      <c r="C102" s="7"/>
      <c r="D102" s="7"/>
      <c r="E102" s="8"/>
    </row>
  </sheetData>
  <autoFilter ref="A2:E102" xr:uid="{00000000-0009-0000-0000-000002000000}">
    <filterColumn colId="0" hiddenButton="1"/>
    <filterColumn colId="1" hiddenButton="1"/>
    <filterColumn colId="2" hiddenButton="1"/>
    <filterColumn colId="3" hiddenButton="1"/>
    <filterColumn colId="4" hiddenButton="1"/>
  </autoFilter>
  <mergeCells count="1">
    <mergeCell ref="A1:E1"/>
  </mergeCells>
  <dataValidations count="1">
    <dataValidation type="list" allowBlank="1" showErrorMessage="1" errorTitle="Tipo inválido" error="Selecione um tipo da lista." sqref="E3:E1002" xr:uid="{00000000-0002-0000-0200-000001000000}">
      <formula1>"Erro na Quantidade,Material Etiquetado Errado,Etiqueta Duplicada,Erro F3"</formula1>
    </dataValidation>
  </dataValidations>
  <pageMargins left="0.75" right="0.75" top="1" bottom="1" header="0.511811023622047" footer="0.511811023622047"/>
  <pageSetup orientation="landscape" horizontalDpi="300" verticalDpi="300"/>
  <headerFooter>
    <oddHeader>&amp;L&amp;"Aptos"&amp;8&amp;K0000FF [PRIVATE]&amp;1#_x000D_</oddHeader>
    <oddFooter>&amp;L_x000D_&amp;1#&amp;"Aptos"&amp;8&amp;K0000FF [PRIVATE]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Nome inválido" error="Selecione um nome da lista." xr:uid="{00000000-0002-0000-0200-000000000000}">
          <x14:formula1>
            <xm:f>LISTAS!$B$2:$B$12</xm:f>
          </x14:formula1>
          <xm:sqref>D3:D202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69"/>
  <sheetViews>
    <sheetView showGridLines="0" zoomScaleNormal="100" workbookViewId="0">
      <selection activeCell="A30" sqref="A30"/>
    </sheetView>
  </sheetViews>
  <sheetFormatPr defaultColWidth="8.7109375" defaultRowHeight="15" x14ac:dyDescent="0.25"/>
  <cols>
    <col min="1" max="1" width="35" customWidth="1"/>
    <col min="2" max="2" width="14" customWidth="1"/>
    <col min="3" max="3" width="8" customWidth="1"/>
    <col min="4" max="4" width="34.85546875" customWidth="1"/>
    <col min="5" max="5" width="14" customWidth="1"/>
    <col min="6" max="13" width="8" customWidth="1"/>
  </cols>
  <sheetData>
    <row r="1" spans="1:14" ht="15.75" customHeight="1" x14ac:dyDescent="0.25">
      <c r="A1" s="65" t="s">
        <v>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9.5" customHeight="1" x14ac:dyDescent="0.25"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  <c r="G2" s="9" t="s">
        <v>91</v>
      </c>
      <c r="H2" s="9" t="s">
        <v>92</v>
      </c>
      <c r="I2" s="9" t="s">
        <v>93</v>
      </c>
      <c r="J2" s="9" t="s">
        <v>94</v>
      </c>
      <c r="K2" s="9" t="s">
        <v>95</v>
      </c>
      <c r="L2" s="9" t="s">
        <v>96</v>
      </c>
      <c r="M2" s="9" t="s">
        <v>97</v>
      </c>
    </row>
    <row r="3" spans="1:14" ht="19.5" customHeight="1" x14ac:dyDescent="0.25">
      <c r="A3" s="10" t="s">
        <v>98</v>
      </c>
      <c r="B3" s="11">
        <f ca="1">SUMPRODUCT((MONTH('GUARDA MAT. ERRADO'!A3:A102)=1)*(YEAR('GUARDA MAT. ERRADO'!A3:A102)=YEAR(TODAY()))*('GUARDA MAT. ERRADO'!A3:A102&lt;&gt;""))</f>
        <v>3</v>
      </c>
      <c r="C3" s="11">
        <f ca="1">SUMPRODUCT((MONTH('GUARDA MAT. ERRADO'!A3:A102)=2)*(YEAR('GUARDA MAT. ERRADO'!A3:A102)=YEAR(TODAY()))*('GUARDA MAT. ERRADO'!A3:A102&lt;&gt;""))</f>
        <v>10</v>
      </c>
      <c r="D3" s="11">
        <f ca="1">SUMPRODUCT((MONTH('GUARDA MAT. ERRADO'!A3:A102)=3)*(YEAR('GUARDA MAT. ERRADO'!A3:A102)=YEAR(TODAY()))*('GUARDA MAT. ERRADO'!A3:A102&lt;&gt;""))</f>
        <v>4</v>
      </c>
      <c r="E3" s="11">
        <f ca="1">SUMPRODUCT((MONTH('GUARDA MAT. ERRADO'!A3:A102)=4)*(YEAR('GUARDA MAT. ERRADO'!A3:A102)=YEAR(TODAY()))*('GUARDA MAT. ERRADO'!A3:A102&lt;&gt;""))</f>
        <v>11</v>
      </c>
      <c r="F3" s="11">
        <f ca="1">SUMPRODUCT((MONTH('GUARDA MAT. ERRADO'!A3:A102)=5)*(YEAR('GUARDA MAT. ERRADO'!A3:A102)=YEAR(TODAY()))*('GUARDA MAT. ERRADO'!A3:A102&lt;&gt;""))</f>
        <v>25</v>
      </c>
      <c r="G3" s="11">
        <f ca="1">SUMPRODUCT((MONTH('GUARDA MAT. ERRADO'!A3:A102)=6)*(YEAR('GUARDA MAT. ERRADO'!A3:A102)=YEAR(TODAY()))*('GUARDA MAT. ERRADO'!A3:A102&lt;&gt;""))</f>
        <v>17</v>
      </c>
      <c r="H3" s="11">
        <f ca="1">SUMPRODUCT((MONTH('GUARDA MAT. ERRADO'!A3:A102)=7)*(YEAR('GUARDA MAT. ERRADO'!A3:A102)=YEAR(TODAY()))*('GUARDA MAT. ERRADO'!A3:A102&lt;&gt;""))</f>
        <v>0</v>
      </c>
      <c r="I3" s="11">
        <f ca="1">SUMPRODUCT((MONTH('GUARDA MAT. ERRADO'!A3:A102)=8)*(YEAR('GUARDA MAT. ERRADO'!A3:A102)=YEAR(TODAY()))*('GUARDA MAT. ERRADO'!A3:A102&lt;&gt;""))</f>
        <v>0</v>
      </c>
      <c r="J3" s="11">
        <f ca="1">SUMPRODUCT((MONTH('GUARDA MAT. ERRADO'!A3:A102)=9)*(YEAR('GUARDA MAT. ERRADO'!A3:A102)=YEAR(TODAY()))*('GUARDA MAT. ERRADO'!A3:A102&lt;&gt;""))</f>
        <v>0</v>
      </c>
      <c r="K3" s="11">
        <f ca="1">SUMPRODUCT((MONTH('GUARDA MAT. ERRADO'!A3:A102)=10)*(YEAR('GUARDA MAT. ERRADO'!A3:A102)=YEAR(TODAY()))*('GUARDA MAT. ERRADO'!A3:A102&lt;&gt;""))</f>
        <v>0</v>
      </c>
      <c r="L3" s="11">
        <f ca="1">SUMPRODUCT((MONTH('GUARDA MAT. ERRADO'!A3:A102)=11)*(YEAR('GUARDA MAT. ERRADO'!A3:A102)=YEAR(TODAY()))*('GUARDA MAT. ERRADO'!A3:A102&lt;&gt;""))</f>
        <v>0</v>
      </c>
      <c r="M3" s="11">
        <f ca="1">SUMPRODUCT((MONTH('GUARDA MAT. ERRADO'!A3:A102)=12)*(YEAR('GUARDA MAT. ERRADO'!A3:A102)=YEAR(TODAY()))*('GUARDA MAT. ERRADO'!A3:A102&lt;&gt;""))</f>
        <v>0</v>
      </c>
    </row>
    <row r="4" spans="1:14" ht="19.5" customHeight="1" x14ac:dyDescent="0.25">
      <c r="A4" s="10" t="s">
        <v>99</v>
      </c>
      <c r="B4" s="12">
        <f ca="1">SUMPRODUCT((MONTH(CONFERENTES!A3:A102)=1)*(YEAR(CONFERENTES!A3:A102)=YEAR(TODAY()))*(CONFERENTES!A3:A102&lt;&gt;""))</f>
        <v>0</v>
      </c>
      <c r="C4" s="12">
        <f ca="1">SUMPRODUCT((MONTH(CONFERENTES!A3:A102)=2)*(YEAR(CONFERENTES!A3:A102)=YEAR(TODAY()))*(CONFERENTES!A3:A102&lt;&gt;""))</f>
        <v>1</v>
      </c>
      <c r="D4" s="12">
        <f ca="1">SUMPRODUCT((MONTH(CONFERENTES!A3:A102)=3)*(YEAR(CONFERENTES!A3:A102)=YEAR(TODAY()))*(CONFERENTES!A3:A102&lt;&gt;""))</f>
        <v>0</v>
      </c>
      <c r="E4" s="12">
        <f ca="1">SUMPRODUCT((MONTH(CONFERENTES!A3:A102)=4)*(YEAR(CONFERENTES!A3:A102)=YEAR(TODAY()))*(CONFERENTES!A3:A102&lt;&gt;""))</f>
        <v>0</v>
      </c>
      <c r="F4" s="12">
        <f ca="1">SUMPRODUCT((MONTH(CONFERENTES!A3:A102)=5)*(YEAR(CONFERENTES!A3:A102)=YEAR(TODAY()))*(CONFERENTES!A3:A102&lt;&gt;""))</f>
        <v>12</v>
      </c>
      <c r="G4" s="12">
        <f ca="1">SUMPRODUCT((MONTH(CONFERENTES!A3:A102)=6)*(YEAR(CONFERENTES!A3:A102)=YEAR(TODAY()))*(CONFERENTES!A3:A102&lt;&gt;""))</f>
        <v>0</v>
      </c>
      <c r="H4" s="12">
        <f ca="1">SUMPRODUCT((MONTH(CONFERENTES!A3:A102)=7)*(YEAR(CONFERENTES!A3:A102)=YEAR(TODAY()))*(CONFERENTES!A3:A102&lt;&gt;""))</f>
        <v>0</v>
      </c>
      <c r="I4" s="12">
        <f ca="1">SUMPRODUCT((MONTH(CONFERENTES!A3:A102)=8)*(YEAR(CONFERENTES!A3:A102)=YEAR(TODAY()))*(CONFERENTES!A3:A102&lt;&gt;""))</f>
        <v>0</v>
      </c>
      <c r="J4" s="12">
        <f ca="1">SUMPRODUCT((MONTH(CONFERENTES!A3:A102)=9)*(YEAR(CONFERENTES!A3:A102)=YEAR(TODAY()))*(CONFERENTES!A3:A102&lt;&gt;""))</f>
        <v>0</v>
      </c>
      <c r="K4" s="12">
        <f ca="1">SUMPRODUCT((MONTH(CONFERENTES!A3:A102)=10)*(YEAR(CONFERENTES!A3:A102)=YEAR(TODAY()))*(CONFERENTES!A3:A102&lt;&gt;""))</f>
        <v>0</v>
      </c>
      <c r="L4" s="12">
        <f ca="1">SUMPRODUCT((MONTH(CONFERENTES!A3:A102)=11)*(YEAR(CONFERENTES!A3:A102)=YEAR(TODAY()))*(CONFERENTES!A3:A102&lt;&gt;""))</f>
        <v>0</v>
      </c>
      <c r="M4" s="12">
        <f ca="1">SUMPRODUCT((MONTH(CONFERENTES!A3:A102)=12)*(YEAR(CONFERENTES!A3:A102)=YEAR(TODAY()))*(CONFERENTES!A3:A102&lt;&gt;""))</f>
        <v>0</v>
      </c>
    </row>
    <row r="5" spans="1:14" ht="19.5" customHeight="1" x14ac:dyDescent="0.25">
      <c r="A5" s="13" t="s">
        <v>100</v>
      </c>
      <c r="B5" s="14">
        <f t="shared" ref="B5:M5" ca="1" si="0">B3+B4</f>
        <v>3</v>
      </c>
      <c r="C5" s="14">
        <f t="shared" ca="1" si="0"/>
        <v>11</v>
      </c>
      <c r="D5" s="14">
        <f t="shared" ca="1" si="0"/>
        <v>4</v>
      </c>
      <c r="E5" s="14">
        <f t="shared" ca="1" si="0"/>
        <v>11</v>
      </c>
      <c r="F5" s="14">
        <f t="shared" ca="1" si="0"/>
        <v>37</v>
      </c>
      <c r="G5" s="14">
        <f t="shared" ca="1" si="0"/>
        <v>17</v>
      </c>
      <c r="H5" s="14">
        <f t="shared" ca="1" si="0"/>
        <v>0</v>
      </c>
      <c r="I5" s="14">
        <f t="shared" ca="1" si="0"/>
        <v>0</v>
      </c>
      <c r="J5" s="14">
        <f t="shared" ca="1" si="0"/>
        <v>0</v>
      </c>
      <c r="K5" s="14">
        <f t="shared" ca="1" si="0"/>
        <v>0</v>
      </c>
      <c r="L5" s="14">
        <f t="shared" ca="1" si="0"/>
        <v>0</v>
      </c>
      <c r="M5" s="14">
        <f t="shared" ca="1" si="0"/>
        <v>0</v>
      </c>
    </row>
    <row r="7" spans="1:14" ht="15" customHeight="1" x14ac:dyDescent="0.25">
      <c r="A7" s="21" t="s">
        <v>101</v>
      </c>
      <c r="B7" s="22" t="s">
        <v>102</v>
      </c>
      <c r="D7" s="21" t="s">
        <v>103</v>
      </c>
      <c r="E7" s="22" t="s">
        <v>102</v>
      </c>
    </row>
    <row r="8" spans="1:14" ht="15" customHeight="1" x14ac:dyDescent="0.25">
      <c r="A8" s="23" t="s">
        <v>11</v>
      </c>
      <c r="B8" s="24"/>
      <c r="D8" s="23" t="s">
        <v>11</v>
      </c>
      <c r="E8" s="24"/>
    </row>
    <row r="9" spans="1:14" ht="15" customHeight="1" x14ac:dyDescent="0.25">
      <c r="A9" s="25" t="s">
        <v>12</v>
      </c>
      <c r="B9" s="26">
        <f>COUNTIF('GUARDA MAT. ERRADO'!E3:E202,A9)</f>
        <v>1</v>
      </c>
      <c r="D9" s="25" t="s">
        <v>104</v>
      </c>
      <c r="E9" s="26">
        <f>COUNTIF(CONFERENTES!D3:D202,D9)</f>
        <v>0</v>
      </c>
    </row>
    <row r="10" spans="1:14" ht="15" customHeight="1" x14ac:dyDescent="0.25">
      <c r="A10" s="25" t="s">
        <v>14</v>
      </c>
      <c r="B10" s="26">
        <f>COUNTIF('GUARDA MAT. ERRADO'!E3:E202,A10)</f>
        <v>0</v>
      </c>
      <c r="D10" s="25" t="s">
        <v>105</v>
      </c>
      <c r="E10" s="26">
        <f>COUNTIF(CONFERENTES!D3:D202,D10)</f>
        <v>0</v>
      </c>
    </row>
    <row r="11" spans="1:14" ht="15" customHeight="1" x14ac:dyDescent="0.25">
      <c r="A11" s="25" t="s">
        <v>15</v>
      </c>
      <c r="B11" s="26">
        <f>COUNTIF('GUARDA MAT. ERRADO'!E3:E202,A11)</f>
        <v>0</v>
      </c>
      <c r="D11" s="25" t="s">
        <v>106</v>
      </c>
      <c r="E11" s="26">
        <f>COUNTIF(CONFERENTES!D3:D202,D11)</f>
        <v>3</v>
      </c>
    </row>
    <row r="12" spans="1:14" ht="15" customHeight="1" x14ac:dyDescent="0.25">
      <c r="A12" s="25" t="s">
        <v>16</v>
      </c>
      <c r="B12" s="26">
        <f>COUNTIF('GUARDA MAT. ERRADO'!E3:E202,A12)</f>
        <v>0</v>
      </c>
      <c r="D12" s="27" t="s">
        <v>107</v>
      </c>
      <c r="E12" s="32">
        <f>COUNTIF(CONFERENTES!D3:D202,D12)</f>
        <v>0</v>
      </c>
    </row>
    <row r="13" spans="1:14" ht="15" customHeight="1" x14ac:dyDescent="0.25">
      <c r="A13" s="25" t="s">
        <v>17</v>
      </c>
      <c r="B13" s="26">
        <f>COUNTIF('GUARDA MAT. ERRADO'!E3:E202,A13)</f>
        <v>4</v>
      </c>
      <c r="D13" s="27" t="s">
        <v>108</v>
      </c>
      <c r="E13" s="32">
        <f>COUNTIF(CONFERENTES!D3:D202,D13)</f>
        <v>0</v>
      </c>
    </row>
    <row r="14" spans="1:14" ht="15" customHeight="1" x14ac:dyDescent="0.25">
      <c r="A14" s="25" t="s">
        <v>18</v>
      </c>
      <c r="B14" s="26">
        <f>COUNTIF('GUARDA MAT. ERRADO'!E3:E202,A14)</f>
        <v>0</v>
      </c>
      <c r="D14" s="27" t="s">
        <v>109</v>
      </c>
      <c r="E14" s="32">
        <f>COUNTIF(CONFERENTES!D3:D202,D14)</f>
        <v>1</v>
      </c>
    </row>
    <row r="15" spans="1:14" ht="15" customHeight="1" x14ac:dyDescent="0.25">
      <c r="A15" s="25" t="s">
        <v>19</v>
      </c>
      <c r="B15" s="26">
        <f>COUNTIF('GUARDA MAT. ERRADO'!E3:E202,A15)</f>
        <v>7</v>
      </c>
      <c r="D15" s="28" t="s">
        <v>25</v>
      </c>
      <c r="E15" s="29"/>
    </row>
    <row r="16" spans="1:14" ht="15" customHeight="1" x14ac:dyDescent="0.25">
      <c r="A16" s="25" t="s">
        <v>20</v>
      </c>
      <c r="B16" s="26">
        <f>COUNTIF('GUARDA MAT. ERRADO'!E3:E202,A16)</f>
        <v>4</v>
      </c>
      <c r="D16" s="27" t="s">
        <v>83</v>
      </c>
      <c r="E16" s="32">
        <f>COUNTIF(CONFERENTES!D3:D202,D16)</f>
        <v>2</v>
      </c>
    </row>
    <row r="17" spans="1:5" ht="15" customHeight="1" x14ac:dyDescent="0.25">
      <c r="A17" s="25" t="s">
        <v>21</v>
      </c>
      <c r="B17" s="26">
        <f>COUNTIF('GUARDA MAT. ERRADO'!E3:E202,A17)</f>
        <v>4</v>
      </c>
      <c r="D17" s="27" t="s">
        <v>110</v>
      </c>
      <c r="E17" s="32">
        <f>COUNTIF(CONFERENTES!D3:D202,D17)</f>
        <v>0</v>
      </c>
    </row>
    <row r="18" spans="1:5" x14ac:dyDescent="0.25">
      <c r="A18" s="27" t="s">
        <v>22</v>
      </c>
      <c r="B18" s="32">
        <f>COUNTIF('GUARDA MAT. ERRADO'!E3:E202,A18)</f>
        <v>1</v>
      </c>
      <c r="D18" s="27" t="s">
        <v>111</v>
      </c>
      <c r="E18" s="32">
        <f>COUNTIF(CONFERENTES!D3:D202,D18)</f>
        <v>0</v>
      </c>
    </row>
    <row r="19" spans="1:5" x14ac:dyDescent="0.25">
      <c r="A19" s="27" t="s">
        <v>23</v>
      </c>
      <c r="B19" s="32">
        <f>COUNTIF('GUARDA MAT. ERRADO'!E3:E202,A19)</f>
        <v>3</v>
      </c>
      <c r="D19" s="27" t="s">
        <v>112</v>
      </c>
      <c r="E19" s="32">
        <f>COUNTIF(CONFERENTES!D3:D202,D19)</f>
        <v>5</v>
      </c>
    </row>
    <row r="20" spans="1:5" x14ac:dyDescent="0.25">
      <c r="A20" s="27" t="s">
        <v>24</v>
      </c>
      <c r="B20" s="32">
        <f>COUNTIF('GUARDA MAT. ERRADO'!E3:E202,A20)</f>
        <v>3</v>
      </c>
      <c r="D20" s="30" t="s">
        <v>36</v>
      </c>
      <c r="E20" s="31"/>
    </row>
    <row r="21" spans="1:5" x14ac:dyDescent="0.25">
      <c r="A21" s="28" t="s">
        <v>25</v>
      </c>
      <c r="B21" s="29"/>
      <c r="D21" s="27" t="s">
        <v>37</v>
      </c>
      <c r="E21" s="32">
        <f>COUNTIF(CONFERENTES!D3:D202,D21)</f>
        <v>2</v>
      </c>
    </row>
    <row r="22" spans="1:5" x14ac:dyDescent="0.25">
      <c r="A22" s="27" t="s">
        <v>26</v>
      </c>
      <c r="B22" s="32">
        <f>COUNTIF('GUARDA MAT. ERRADO'!E3:E202,A22)</f>
        <v>4</v>
      </c>
      <c r="D22" s="18"/>
      <c r="E22" s="18"/>
    </row>
    <row r="23" spans="1:5" x14ac:dyDescent="0.25">
      <c r="A23" s="27" t="s">
        <v>28</v>
      </c>
      <c r="B23" s="32">
        <f>COUNTIF('GUARDA MAT. ERRADO'!E3:E202,A23)</f>
        <v>0</v>
      </c>
      <c r="D23" s="18"/>
      <c r="E23" s="18"/>
    </row>
    <row r="24" spans="1:5" x14ac:dyDescent="0.25">
      <c r="A24" s="27" t="s">
        <v>29</v>
      </c>
      <c r="B24" s="32">
        <f>COUNTIF('GUARDA MAT. ERRADO'!E3:E202,A24)</f>
        <v>0</v>
      </c>
      <c r="D24" s="18"/>
      <c r="E24" s="18"/>
    </row>
    <row r="25" spans="1:5" x14ac:dyDescent="0.25">
      <c r="A25" s="27" t="s">
        <v>30</v>
      </c>
      <c r="B25" s="32">
        <f>COUNTIF('GUARDA MAT. ERRADO'!E3:E202,A25)</f>
        <v>2</v>
      </c>
      <c r="D25" s="18"/>
      <c r="E25" s="18"/>
    </row>
    <row r="26" spans="1:5" x14ac:dyDescent="0.25">
      <c r="A26" s="27" t="s">
        <v>31</v>
      </c>
      <c r="B26" s="32">
        <f>COUNTIF('GUARDA MAT. ERRADO'!E3:E202,A26)</f>
        <v>0</v>
      </c>
      <c r="D26" s="18"/>
      <c r="E26" s="18"/>
    </row>
    <row r="27" spans="1:5" x14ac:dyDescent="0.25">
      <c r="A27" s="27" t="s">
        <v>32</v>
      </c>
      <c r="B27" s="32">
        <f>COUNTIF('GUARDA MAT. ERRADO'!E3:E202,A27)</f>
        <v>1</v>
      </c>
      <c r="D27" s="18"/>
      <c r="E27" s="18"/>
    </row>
    <row r="28" spans="1:5" x14ac:dyDescent="0.25">
      <c r="A28" s="27" t="s">
        <v>55</v>
      </c>
      <c r="B28" s="32">
        <f>COUNTIF('GUARDA MAT. ERRADO'!E3:E202,A28)</f>
        <v>14</v>
      </c>
      <c r="D28" s="18"/>
      <c r="E28" s="18"/>
    </row>
    <row r="29" spans="1:5" x14ac:dyDescent="0.25">
      <c r="A29" s="27" t="s">
        <v>33</v>
      </c>
      <c r="B29" s="32">
        <f>COUNTIF('GUARDA MAT. ERRADO'!E3:E202,A29)</f>
        <v>4</v>
      </c>
      <c r="D29" s="18"/>
      <c r="E29" s="18"/>
    </row>
    <row r="30" spans="1:5" x14ac:dyDescent="0.25">
      <c r="A30" s="27" t="s">
        <v>34</v>
      </c>
      <c r="B30" s="32">
        <f>COUNTIF('GUARDA MAT. ERRADO'!E3:E202,A30)</f>
        <v>4</v>
      </c>
      <c r="D30" s="18"/>
      <c r="E30" s="18"/>
    </row>
    <row r="31" spans="1:5" x14ac:dyDescent="0.25">
      <c r="A31" s="27" t="s">
        <v>35</v>
      </c>
      <c r="B31" s="32">
        <f>COUNTIF('GUARDA MAT. ERRADO'!E3:E202,A31)</f>
        <v>2</v>
      </c>
      <c r="D31" s="18"/>
      <c r="E31" s="18"/>
    </row>
    <row r="32" spans="1:5" x14ac:dyDescent="0.25">
      <c r="A32" s="30" t="s">
        <v>36</v>
      </c>
      <c r="B32" s="31"/>
      <c r="D32" s="18"/>
      <c r="E32" s="18"/>
    </row>
    <row r="33" spans="1:5" x14ac:dyDescent="0.25">
      <c r="A33" s="27" t="s">
        <v>37</v>
      </c>
      <c r="B33" s="32">
        <f>COUNTIF('GUARDA MAT. ERRADO'!E3:E202,A33)</f>
        <v>0</v>
      </c>
      <c r="D33" s="18"/>
      <c r="E33" s="18"/>
    </row>
    <row r="34" spans="1:5" x14ac:dyDescent="0.25">
      <c r="A34" s="27" t="s">
        <v>39</v>
      </c>
      <c r="B34" s="32">
        <f>COUNTIF('GUARDA MAT. ERRADO'!E3:E202,A34)</f>
        <v>6</v>
      </c>
      <c r="D34" s="18"/>
      <c r="E34" s="18"/>
    </row>
    <row r="35" spans="1:5" x14ac:dyDescent="0.25">
      <c r="A35" s="27" t="s">
        <v>40</v>
      </c>
      <c r="B35" s="32">
        <f>COUNTIF('GUARDA MAT. ERRADO'!E3:E202,A35)</f>
        <v>6</v>
      </c>
      <c r="D35" s="18"/>
      <c r="E35" s="18"/>
    </row>
    <row r="36" spans="1:5" x14ac:dyDescent="0.25">
      <c r="A36" s="18"/>
      <c r="B36" s="18"/>
      <c r="D36" s="18"/>
      <c r="E36" s="18"/>
    </row>
    <row r="37" spans="1:5" x14ac:dyDescent="0.25">
      <c r="A37" s="18"/>
      <c r="B37" s="18"/>
      <c r="D37" s="18"/>
      <c r="E37" s="18"/>
    </row>
    <row r="38" spans="1:5" x14ac:dyDescent="0.25">
      <c r="A38" s="18"/>
      <c r="B38" s="18"/>
      <c r="D38" s="18"/>
      <c r="E38" s="18"/>
    </row>
    <row r="39" spans="1:5" x14ac:dyDescent="0.25">
      <c r="A39" s="18"/>
      <c r="B39" s="18"/>
      <c r="D39" s="18"/>
      <c r="E39" s="18"/>
    </row>
    <row r="40" spans="1:5" x14ac:dyDescent="0.25">
      <c r="A40" s="18"/>
      <c r="B40" s="18"/>
      <c r="D40" s="18"/>
      <c r="E40" s="18"/>
    </row>
    <row r="41" spans="1:5" x14ac:dyDescent="0.25">
      <c r="A41" s="18"/>
      <c r="B41" s="18"/>
      <c r="D41" s="18"/>
      <c r="E41" s="18"/>
    </row>
    <row r="42" spans="1:5" x14ac:dyDescent="0.25">
      <c r="A42" s="18"/>
      <c r="B42" s="18"/>
      <c r="D42" s="18"/>
      <c r="E42" s="18"/>
    </row>
    <row r="43" spans="1:5" x14ac:dyDescent="0.25">
      <c r="A43" s="18"/>
      <c r="B43" s="18"/>
      <c r="D43" s="18"/>
      <c r="E43" s="18"/>
    </row>
    <row r="44" spans="1:5" x14ac:dyDescent="0.25">
      <c r="A44" s="18"/>
      <c r="B44" s="18"/>
      <c r="D44" s="18"/>
      <c r="E44" s="18"/>
    </row>
    <row r="45" spans="1:5" x14ac:dyDescent="0.25">
      <c r="A45" s="18"/>
      <c r="B45" s="18"/>
      <c r="D45" s="18"/>
      <c r="E45" s="18"/>
    </row>
    <row r="46" spans="1:5" x14ac:dyDescent="0.25">
      <c r="A46" s="18"/>
      <c r="B46" s="18"/>
      <c r="D46" s="18"/>
      <c r="E46" s="18"/>
    </row>
    <row r="47" spans="1:5" x14ac:dyDescent="0.25">
      <c r="A47" s="18"/>
      <c r="B47" s="18"/>
      <c r="D47" s="18"/>
      <c r="E47" s="18"/>
    </row>
    <row r="48" spans="1:5" x14ac:dyDescent="0.25">
      <c r="A48" s="18"/>
      <c r="B48" s="18"/>
      <c r="D48" s="18"/>
      <c r="E48" s="18"/>
    </row>
    <row r="49" spans="1:5" x14ac:dyDescent="0.25">
      <c r="A49" s="18"/>
      <c r="B49" s="18"/>
      <c r="D49" s="18"/>
      <c r="E49" s="18"/>
    </row>
    <row r="50" spans="1:5" x14ac:dyDescent="0.25">
      <c r="A50" s="18"/>
      <c r="B50" s="18"/>
      <c r="D50" s="18"/>
      <c r="E50" s="18"/>
    </row>
    <row r="51" spans="1:5" x14ac:dyDescent="0.25">
      <c r="A51" s="18"/>
      <c r="B51" s="18"/>
      <c r="D51" s="18"/>
      <c r="E51" s="18"/>
    </row>
    <row r="52" spans="1:5" x14ac:dyDescent="0.25">
      <c r="A52" s="18"/>
      <c r="B52" s="18"/>
      <c r="D52" s="18"/>
      <c r="E52" s="18"/>
    </row>
    <row r="53" spans="1:5" x14ac:dyDescent="0.25">
      <c r="A53" s="18"/>
      <c r="B53" s="18"/>
      <c r="D53" s="18"/>
      <c r="E53" s="18"/>
    </row>
    <row r="54" spans="1:5" x14ac:dyDescent="0.25">
      <c r="A54" s="18"/>
      <c r="B54" s="18"/>
      <c r="D54" s="18"/>
      <c r="E54" s="18"/>
    </row>
    <row r="55" spans="1:5" x14ac:dyDescent="0.25">
      <c r="A55" s="18"/>
      <c r="B55" s="18"/>
      <c r="D55" s="18"/>
      <c r="E55" s="18"/>
    </row>
    <row r="56" spans="1:5" x14ac:dyDescent="0.25">
      <c r="A56" s="18"/>
      <c r="B56" s="18"/>
      <c r="D56" s="18"/>
      <c r="E56" s="18"/>
    </row>
    <row r="57" spans="1:5" x14ac:dyDescent="0.25">
      <c r="A57" s="18"/>
      <c r="B57" s="18"/>
      <c r="D57" s="18"/>
      <c r="E57" s="18"/>
    </row>
    <row r="58" spans="1:5" x14ac:dyDescent="0.25">
      <c r="A58" s="18"/>
      <c r="B58" s="18"/>
      <c r="D58" s="18"/>
      <c r="E58" s="18"/>
    </row>
    <row r="59" spans="1:5" x14ac:dyDescent="0.25">
      <c r="A59" s="18"/>
      <c r="B59" s="18"/>
      <c r="D59" s="18"/>
      <c r="E59" s="18"/>
    </row>
    <row r="60" spans="1:5" x14ac:dyDescent="0.25">
      <c r="A60" s="18"/>
      <c r="B60" s="18"/>
      <c r="D60" s="18"/>
      <c r="E60" s="18"/>
    </row>
    <row r="61" spans="1:5" x14ac:dyDescent="0.25">
      <c r="A61" s="18"/>
      <c r="B61" s="18"/>
      <c r="D61" s="18"/>
      <c r="E61" s="18"/>
    </row>
    <row r="62" spans="1:5" x14ac:dyDescent="0.25">
      <c r="A62" s="18"/>
      <c r="B62" s="18"/>
      <c r="D62" s="18"/>
      <c r="E62" s="18"/>
    </row>
    <row r="63" spans="1:5" x14ac:dyDescent="0.25">
      <c r="A63" s="18"/>
      <c r="B63" s="18"/>
      <c r="D63" s="18"/>
      <c r="E63" s="18"/>
    </row>
    <row r="64" spans="1:5" x14ac:dyDescent="0.25">
      <c r="A64" s="18"/>
      <c r="B64" s="18"/>
      <c r="D64" s="18"/>
      <c r="E64" s="18"/>
    </row>
    <row r="65" spans="1:5" x14ac:dyDescent="0.25">
      <c r="A65" s="18"/>
      <c r="B65" s="18"/>
      <c r="D65" s="18"/>
      <c r="E65" s="18"/>
    </row>
    <row r="66" spans="1:5" x14ac:dyDescent="0.25">
      <c r="A66" s="18"/>
      <c r="B66" s="18"/>
      <c r="D66" s="18"/>
      <c r="E66" s="18"/>
    </row>
    <row r="67" spans="1:5" x14ac:dyDescent="0.25">
      <c r="A67" s="18"/>
      <c r="B67" s="18"/>
      <c r="D67" s="18"/>
      <c r="E67" s="18"/>
    </row>
    <row r="68" spans="1:5" x14ac:dyDescent="0.25">
      <c r="A68" s="18"/>
      <c r="B68" s="18"/>
      <c r="D68" s="18"/>
      <c r="E68" s="18"/>
    </row>
    <row r="69" spans="1:5" x14ac:dyDescent="0.25">
      <c r="A69" s="18"/>
      <c r="B69" s="18"/>
      <c r="D69" s="18"/>
      <c r="E69" s="18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&amp;L&amp;"Aptos"&amp;8&amp;K0000FF [PRIVATE]&amp;1#_x000D_</oddHeader>
    <oddFooter>&amp;L_x000D_&amp;1#&amp;"Aptos"&amp;8&amp;K0000FF [PRIVATE]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5" x14ac:dyDescent="0.25"/>
  <sheetData>
    <row r="1" spans="1:2" x14ac:dyDescent="0.25">
      <c r="A1" s="19" t="s">
        <v>113</v>
      </c>
      <c r="B1" s="19" t="s">
        <v>114</v>
      </c>
    </row>
    <row r="2" spans="1:2" x14ac:dyDescent="0.25">
      <c r="A2" t="s">
        <v>12</v>
      </c>
      <c r="B2" t="s">
        <v>104</v>
      </c>
    </row>
    <row r="3" spans="1:2" x14ac:dyDescent="0.25">
      <c r="A3" t="s">
        <v>14</v>
      </c>
      <c r="B3" t="s">
        <v>105</v>
      </c>
    </row>
    <row r="4" spans="1:2" x14ac:dyDescent="0.25">
      <c r="A4" t="s">
        <v>15</v>
      </c>
      <c r="B4" t="s">
        <v>106</v>
      </c>
    </row>
    <row r="5" spans="1:2" x14ac:dyDescent="0.25">
      <c r="A5" t="s">
        <v>16</v>
      </c>
      <c r="B5" t="s">
        <v>107</v>
      </c>
    </row>
    <row r="6" spans="1:2" x14ac:dyDescent="0.25">
      <c r="A6" t="s">
        <v>17</v>
      </c>
      <c r="B6" t="s">
        <v>108</v>
      </c>
    </row>
    <row r="7" spans="1:2" x14ac:dyDescent="0.25">
      <c r="A7" t="s">
        <v>18</v>
      </c>
      <c r="B7" t="s">
        <v>109</v>
      </c>
    </row>
    <row r="8" spans="1:2" x14ac:dyDescent="0.25">
      <c r="A8" t="s">
        <v>19</v>
      </c>
      <c r="B8" t="s">
        <v>83</v>
      </c>
    </row>
    <row r="9" spans="1:2" x14ac:dyDescent="0.25">
      <c r="A9" t="s">
        <v>20</v>
      </c>
      <c r="B9" t="s">
        <v>110</v>
      </c>
    </row>
    <row r="10" spans="1:2" x14ac:dyDescent="0.25">
      <c r="A10" t="s">
        <v>21</v>
      </c>
      <c r="B10" t="s">
        <v>111</v>
      </c>
    </row>
    <row r="11" spans="1:2" x14ac:dyDescent="0.25">
      <c r="A11" t="s">
        <v>22</v>
      </c>
      <c r="B11" t="s">
        <v>112</v>
      </c>
    </row>
    <row r="12" spans="1:2" x14ac:dyDescent="0.25">
      <c r="A12" t="s">
        <v>23</v>
      </c>
      <c r="B12" t="s">
        <v>37</v>
      </c>
    </row>
    <row r="13" spans="1:2" x14ac:dyDescent="0.25">
      <c r="A13" t="s">
        <v>24</v>
      </c>
    </row>
    <row r="14" spans="1:2" x14ac:dyDescent="0.25">
      <c r="A14" t="s">
        <v>26</v>
      </c>
    </row>
    <row r="15" spans="1:2" x14ac:dyDescent="0.25">
      <c r="A15" t="s">
        <v>28</v>
      </c>
    </row>
    <row r="16" spans="1:2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55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37</v>
      </c>
    </row>
    <row r="25" spans="1:1" x14ac:dyDescent="0.25">
      <c r="A25" t="s">
        <v>39</v>
      </c>
    </row>
    <row r="26" spans="1:1" x14ac:dyDescent="0.25">
      <c r="A26" t="s">
        <v>40</v>
      </c>
    </row>
  </sheetData>
  <pageMargins left="0.75" right="0.75" top="1" bottom="1" header="0.5" footer="0.5"/>
  <headerFooter>
    <oddHeader>&amp;L&amp;"Aptos"&amp;8&amp;K0000FF [PRIVATE]&amp;1#_x000D_</oddHeader>
    <oddFooter>&amp;L_x000D_&amp;1#&amp;"Aptos"&amp;8&amp;K0000FF [PRIVATE]</oddFooter>
  </headerFooter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GUARDA MAT. ERRADO</vt:lpstr>
      <vt:lpstr>CONFERENTES</vt:lpstr>
      <vt:lpstr>RESUMO_MENSAL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Mota Melo</cp:lastModifiedBy>
  <cp:revision>3</cp:revision>
  <dcterms:created xsi:type="dcterms:W3CDTF">2026-05-11T20:39:18Z</dcterms:created>
  <dcterms:modified xsi:type="dcterms:W3CDTF">2026-07-04T20:18:17Z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68bb77-9629-4415-ad00-f66913af46f3_Enabled">
    <vt:lpwstr>true</vt:lpwstr>
  </property>
  <property fmtid="{D5CDD505-2E9C-101B-9397-08002B2CF9AE}" pid="3" name="MSIP_Label_b568bb77-9629-4415-ad00-f66913af46f3_SetDate">
    <vt:lpwstr>2026-06-06T22:41:45Z</vt:lpwstr>
  </property>
  <property fmtid="{D5CDD505-2E9C-101B-9397-08002B2CF9AE}" pid="4" name="MSIP_Label_b568bb77-9629-4415-ad00-f66913af46f3_Method">
    <vt:lpwstr>Privileged</vt:lpwstr>
  </property>
  <property fmtid="{D5CDD505-2E9C-101B-9397-08002B2CF9AE}" pid="5" name="MSIP_Label_b568bb77-9629-4415-ad00-f66913af46f3_Name">
    <vt:lpwstr>Privado</vt:lpwstr>
  </property>
  <property fmtid="{D5CDD505-2E9C-101B-9397-08002B2CF9AE}" pid="6" name="MSIP_Label_b568bb77-9629-4415-ad00-f66913af46f3_SiteId">
    <vt:lpwstr>27fac0e2-ed07-4934-9aef-affa08fcd414</vt:lpwstr>
  </property>
  <property fmtid="{D5CDD505-2E9C-101B-9397-08002B2CF9AE}" pid="7" name="MSIP_Label_b568bb77-9629-4415-ad00-f66913af46f3_ActionId">
    <vt:lpwstr>c7d63a0f-1c03-4581-ac92-2bfbe88d6dab</vt:lpwstr>
  </property>
  <property fmtid="{D5CDD505-2E9C-101B-9397-08002B2CF9AE}" pid="8" name="MSIP_Label_b568bb77-9629-4415-ad00-f66913af46f3_ContentBits">
    <vt:lpwstr>3</vt:lpwstr>
  </property>
  <property fmtid="{D5CDD505-2E9C-101B-9397-08002B2CF9AE}" pid="9" name="MSIP_Label_b568bb77-9629-4415-ad00-f66913af46f3_Tag">
    <vt:lpwstr>10, 0, 1, 1</vt:lpwstr>
  </property>
</Properties>
</file>